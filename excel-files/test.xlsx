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jctalbott/Developer/father/open-sdk/excel-files/"/>
    </mc:Choice>
  </mc:AlternateContent>
  <xr:revisionPtr revIDLastSave="0" documentId="13_ncr:1_{0DAFFC91-92C3-FA4E-B7A1-48818C5B293B}" xr6:coauthVersionLast="47" xr6:coauthVersionMax="47" xr10:uidLastSave="{00000000-0000-0000-0000-000000000000}"/>
  <bookViews>
    <workbookView xWindow="0" yWindow="500" windowWidth="28800" windowHeight="17500" firstSheet="6" activeTab="10" xr2:uid="{6ACEEE8F-4149-4E8C-9745-FBC2D0F156E5}"/>
  </bookViews>
  <sheets>
    <sheet name="Subj." sheetId="35" r:id="rId1"/>
    <sheet name="SSum" sheetId="1" r:id="rId2"/>
    <sheet name="S1" sheetId="2" r:id="rId3"/>
    <sheet name="S2" sheetId="3" r:id="rId4"/>
    <sheet name="S3" sheetId="4" r:id="rId5"/>
    <sheet name="S4" sheetId="5" r:id="rId6"/>
    <sheet name="S5" sheetId="6" r:id="rId7"/>
    <sheet name="SAdj" sheetId="9" r:id="rId8"/>
    <sheet name="SG" sheetId="8" r:id="rId9"/>
    <sheet name="RSum" sheetId="10" r:id="rId10"/>
    <sheet name="R1" sheetId="11" r:id="rId11"/>
    <sheet name="R2" sheetId="12" r:id="rId12"/>
    <sheet name="R3" sheetId="13" r:id="rId13"/>
    <sheet name="R4" sheetId="14" r:id="rId14"/>
    <sheet name="RAdj" sheetId="17" r:id="rId15"/>
    <sheet name="RG" sheetId="18" r:id="rId16"/>
    <sheet name="BOI" sheetId="19" r:id="rId17"/>
    <sheet name="Cap Sales" sheetId="30" r:id="rId18"/>
    <sheet name="Ins" sheetId="31" r:id="rId19"/>
    <sheet name="Tax" sheetId="32" r:id="rId20"/>
    <sheet name="Final" sheetId="33" r:id="rId21"/>
    <sheet name="AddC" sheetId="34" r:id="rId22"/>
  </sheets>
  <definedNames>
    <definedName name="Band_of_Investment_Assumptions">BOI!$H$2:$J$8</definedName>
    <definedName name="DSCR">BOI!$V$3:$Y$4</definedName>
    <definedName name="Income_Proforma">BOI!$B$2:$F$14</definedName>
    <definedName name="Mortgage_Equity_CapRate">BOI!$L$3:$R$6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1" l="1"/>
  <c r="D14" i="18"/>
  <c r="D31" i="18" s="1"/>
  <c r="E17" i="8"/>
  <c r="D14" i="31"/>
  <c r="C8" i="31"/>
  <c r="J43" i="10" a="1"/>
  <c r="J43" i="10" s="1"/>
  <c r="J29" i="10"/>
  <c r="I30" i="10"/>
  <c r="B23" i="18"/>
  <c r="G9" i="17"/>
  <c r="Z9" i="10"/>
  <c r="G23" i="18" s="1"/>
  <c r="W9" i="10"/>
  <c r="Q9" i="10"/>
  <c r="Z8" i="10"/>
  <c r="F23" i="18" s="1"/>
  <c r="W8" i="10"/>
  <c r="Q8" i="10"/>
  <c r="Z7" i="10"/>
  <c r="E23" i="18" s="1"/>
  <c r="W7" i="10"/>
  <c r="Q7" i="10"/>
  <c r="Z6" i="10"/>
  <c r="D23" i="18" s="1"/>
  <c r="W6" i="10"/>
  <c r="Q6" i="10"/>
  <c r="I20" i="10"/>
  <c r="I21" i="10" s="1"/>
  <c r="I22" i="10" s="1"/>
  <c r="I23" i="10" s="1"/>
  <c r="I24" i="10" s="1"/>
  <c r="B27" i="8"/>
  <c r="G48" i="8"/>
  <c r="H48" i="8"/>
  <c r="F48" i="8"/>
  <c r="E48" i="8"/>
  <c r="D48" i="8"/>
  <c r="AA7" i="1"/>
  <c r="E27" i="8" s="1"/>
  <c r="R7" i="1"/>
  <c r="J30" i="10" l="1"/>
  <c r="I31" i="10"/>
  <c r="I26" i="10"/>
  <c r="G5" i="9"/>
  <c r="AG10" i="1"/>
  <c r="AF10" i="1"/>
  <c r="AA10" i="1"/>
  <c r="H27" i="8" s="1"/>
  <c r="X10" i="1"/>
  <c r="R10" i="1"/>
  <c r="P10" i="1"/>
  <c r="G10" i="1"/>
  <c r="AG9" i="1"/>
  <c r="AF9" i="1"/>
  <c r="AA9" i="1"/>
  <c r="G27" i="8" s="1"/>
  <c r="X9" i="1"/>
  <c r="R9" i="1"/>
  <c r="P9" i="1"/>
  <c r="G9" i="1"/>
  <c r="AG8" i="1"/>
  <c r="AF8" i="1"/>
  <c r="AA8" i="1"/>
  <c r="F27" i="8" s="1"/>
  <c r="X8" i="1"/>
  <c r="R8" i="1"/>
  <c r="P8" i="1"/>
  <c r="G8" i="1"/>
  <c r="X7" i="1"/>
  <c r="P7" i="1"/>
  <c r="G7" i="1"/>
  <c r="AA6" i="1"/>
  <c r="D27" i="8" s="1"/>
  <c r="X6" i="1"/>
  <c r="R6" i="1"/>
  <c r="P6" i="1"/>
  <c r="G6" i="1"/>
  <c r="Z3" i="1"/>
  <c r="T3" i="1"/>
  <c r="S3" i="1"/>
  <c r="D51" i="35"/>
  <c r="X3" i="1" s="1"/>
  <c r="AG16" i="1"/>
  <c r="AF16" i="1"/>
  <c r="AA16" i="1"/>
  <c r="X16" i="1"/>
  <c r="R16" i="1"/>
  <c r="P16" i="1"/>
  <c r="G16" i="1"/>
  <c r="AG15" i="1"/>
  <c r="AF15" i="1"/>
  <c r="AA15" i="1"/>
  <c r="X15" i="1"/>
  <c r="R15" i="1"/>
  <c r="P15" i="1"/>
  <c r="G15" i="1"/>
  <c r="I32" i="10" l="1"/>
  <c r="J31" i="10"/>
  <c r="D48" i="35"/>
  <c r="AA3" i="1" s="1"/>
  <c r="C27" i="8" s="1"/>
  <c r="B24" i="14"/>
  <c r="B23" i="14"/>
  <c r="B24" i="13"/>
  <c r="B23" i="13"/>
  <c r="B20" i="13"/>
  <c r="B24" i="12"/>
  <c r="B23" i="12"/>
  <c r="B24" i="11"/>
  <c r="B23" i="11"/>
  <c r="A25" i="12"/>
  <c r="A25" i="13"/>
  <c r="A25" i="14"/>
  <c r="A25" i="11"/>
  <c r="A24" i="12"/>
  <c r="A24" i="13"/>
  <c r="A24" i="14"/>
  <c r="A24" i="11"/>
  <c r="A23" i="12"/>
  <c r="A23" i="13"/>
  <c r="A23" i="14"/>
  <c r="A23" i="11"/>
  <c r="A20" i="12"/>
  <c r="A20" i="13"/>
  <c r="A20" i="14"/>
  <c r="A20" i="11"/>
  <c r="B20" i="11"/>
  <c r="A2" i="30"/>
  <c r="A1" i="30"/>
  <c r="A4" i="30"/>
  <c r="A3" i="30"/>
  <c r="B25" i="14"/>
  <c r="B20" i="14"/>
  <c r="B25" i="13"/>
  <c r="Y3" i="10"/>
  <c r="T3" i="10"/>
  <c r="U3" i="1"/>
  <c r="P3" i="10"/>
  <c r="B25" i="12"/>
  <c r="B20" i="12"/>
  <c r="B25" i="11"/>
  <c r="I33" i="10" l="1"/>
  <c r="J32" i="10"/>
  <c r="D8" i="32"/>
  <c r="D10" i="32" s="1"/>
  <c r="D12" i="32" s="1"/>
  <c r="I34" i="10" l="1"/>
  <c r="I35" i="10" s="1"/>
  <c r="I36" i="10" s="1"/>
  <c r="I37" i="10" s="1"/>
  <c r="I38" i="10" s="1"/>
  <c r="J33" i="10"/>
  <c r="J40" i="10" s="1"/>
  <c r="I40" i="10"/>
  <c r="D53" i="35"/>
  <c r="Q3" i="1"/>
  <c r="A29" i="13" l="1"/>
  <c r="D57" i="18" l="1"/>
  <c r="G22" i="18"/>
  <c r="F22" i="18"/>
  <c r="E22" i="18"/>
  <c r="D22" i="18"/>
  <c r="B22" i="18"/>
  <c r="B55" i="18" s="1"/>
  <c r="C22" i="18"/>
  <c r="C55" i="18" s="1"/>
  <c r="B24" i="18"/>
  <c r="G21" i="18"/>
  <c r="F21" i="18"/>
  <c r="E21" i="18"/>
  <c r="D21" i="18"/>
  <c r="C21" i="18"/>
  <c r="C54" i="18" s="1"/>
  <c r="B21" i="18"/>
  <c r="B54" i="18" s="1"/>
  <c r="B19" i="18"/>
  <c r="B52" i="18" s="1"/>
  <c r="G19" i="18" l="1"/>
  <c r="F19" i="18"/>
  <c r="E19" i="18"/>
  <c r="D19" i="18"/>
  <c r="D62" i="8"/>
  <c r="E28" i="8"/>
  <c r="H62" i="8"/>
  <c r="G62" i="8"/>
  <c r="F62" i="8"/>
  <c r="E62" i="8"/>
  <c r="H28" i="8"/>
  <c r="G28" i="8"/>
  <c r="F28" i="8"/>
  <c r="D28" i="8"/>
  <c r="B28" i="8"/>
  <c r="C28" i="8"/>
  <c r="C61" i="8" s="1"/>
  <c r="W3" i="1"/>
  <c r="A28" i="3" l="1"/>
  <c r="A28" i="4"/>
  <c r="A28" i="5"/>
  <c r="A28" i="6"/>
  <c r="A28" i="2"/>
  <c r="B26" i="6"/>
  <c r="H25" i="8" s="1"/>
  <c r="B26" i="5"/>
  <c r="G25" i="8" s="1"/>
  <c r="B26" i="4"/>
  <c r="F25" i="8" s="1"/>
  <c r="B26" i="3"/>
  <c r="E25" i="8" s="1"/>
  <c r="B26" i="2"/>
  <c r="D25" i="8" s="1"/>
  <c r="A26" i="3"/>
  <c r="A26" i="4"/>
  <c r="A26" i="5"/>
  <c r="A26" i="6"/>
  <c r="A26" i="2"/>
  <c r="C25" i="8"/>
  <c r="N13" i="9" s="1"/>
  <c r="B25" i="8"/>
  <c r="B20" i="8"/>
  <c r="B54" i="8" s="1"/>
  <c r="B53" i="8"/>
  <c r="A20" i="3"/>
  <c r="A20" i="4"/>
  <c r="A20" i="5"/>
  <c r="A20" i="6"/>
  <c r="A20" i="2"/>
  <c r="M13" i="9" l="1"/>
  <c r="K13" i="9"/>
  <c r="L13" i="9"/>
  <c r="J13" i="9"/>
  <c r="B28" i="6"/>
  <c r="B20" i="6"/>
  <c r="H20" i="8" s="1"/>
  <c r="B28" i="2"/>
  <c r="B20" i="2"/>
  <c r="D20" i="8" s="1"/>
  <c r="B28" i="3"/>
  <c r="B20" i="3"/>
  <c r="E20" i="8" s="1"/>
  <c r="B28" i="4"/>
  <c r="B20" i="4"/>
  <c r="F20" i="8" s="1"/>
  <c r="B28" i="5"/>
  <c r="B20" i="5"/>
  <c r="G20" i="8" s="1"/>
  <c r="B19" i="4" l="1"/>
  <c r="F19" i="8"/>
  <c r="H19" i="8"/>
  <c r="B19" i="6"/>
  <c r="G19" i="8"/>
  <c r="B19" i="5"/>
  <c r="B19" i="3"/>
  <c r="E19" i="8"/>
  <c r="D19" i="8"/>
  <c r="B19" i="2"/>
  <c r="D2" i="32"/>
  <c r="D42" i="35"/>
  <c r="R3" i="1" s="1"/>
  <c r="G6" i="33"/>
  <c r="D8" i="33" s="1"/>
  <c r="G4" i="33"/>
  <c r="D6" i="33" s="1"/>
  <c r="D10" i="33"/>
  <c r="C6" i="33"/>
  <c r="AB3" i="10" l="1"/>
  <c r="AA3" i="10"/>
  <c r="V3" i="10"/>
  <c r="U1" i="10"/>
  <c r="U3" i="10"/>
  <c r="S3" i="10"/>
  <c r="R3" i="10"/>
  <c r="O3" i="10"/>
  <c r="M3" i="10"/>
  <c r="Z3" i="10" s="1"/>
  <c r="C23" i="18" s="1"/>
  <c r="D3" i="10"/>
  <c r="C3" i="10"/>
  <c r="B3" i="10"/>
  <c r="AC3" i="1"/>
  <c r="W3" i="10"/>
  <c r="V3" i="1"/>
  <c r="N3" i="1"/>
  <c r="M3" i="1"/>
  <c r="D3" i="1"/>
  <c r="C3" i="1"/>
  <c r="B3" i="1"/>
  <c r="D56" i="35"/>
  <c r="D23" i="35"/>
  <c r="O3" i="1" l="1"/>
  <c r="D43" i="35"/>
  <c r="P3" i="1" s="1"/>
  <c r="C19" i="8" s="1"/>
  <c r="C53" i="8" s="1"/>
  <c r="C20" i="8"/>
  <c r="Q3" i="10"/>
  <c r="C19" i="18" s="1"/>
  <c r="C52" i="18" s="1"/>
  <c r="C54" i="8" l="1"/>
  <c r="B6" i="34"/>
  <c r="C6" i="34" s="1"/>
  <c r="C7" i="34" s="1"/>
  <c r="B9" i="34"/>
  <c r="C16" i="34"/>
  <c r="C18" i="34"/>
  <c r="B21" i="34"/>
  <c r="C19" i="34" l="1"/>
  <c r="C21" i="34" s="1"/>
  <c r="C9" i="34"/>
  <c r="C10" i="34" s="1"/>
  <c r="C22" i="34"/>
  <c r="C8" i="33"/>
  <c r="C10" i="33"/>
  <c r="C9" i="32" l="1"/>
  <c r="D12" i="31" l="1"/>
  <c r="F12" i="31" s="1"/>
  <c r="D13" i="31"/>
  <c r="F13" i="31" s="1"/>
  <c r="F14" i="31"/>
  <c r="D15" i="31"/>
  <c r="F15" i="31" l="1"/>
  <c r="E15" i="31" s="1"/>
  <c r="H6" i="30"/>
  <c r="I6" i="30"/>
  <c r="H12" i="30"/>
  <c r="I12" i="30"/>
  <c r="H20" i="30"/>
  <c r="I20" i="30"/>
  <c r="H10" i="30"/>
  <c r="I10" i="30"/>
  <c r="H18" i="30"/>
  <c r="I18" i="30"/>
  <c r="H14" i="30"/>
  <c r="I14" i="30"/>
  <c r="H8" i="30"/>
  <c r="I8" i="30"/>
  <c r="H16" i="30"/>
  <c r="I16" i="30"/>
  <c r="F16" i="31" l="1"/>
  <c r="F17" i="31" s="1"/>
  <c r="M4" i="19"/>
  <c r="V4" i="19"/>
  <c r="O5" i="19"/>
  <c r="I6" i="19"/>
  <c r="M13" i="19"/>
  <c r="M14" i="19" s="1"/>
  <c r="O14" i="19"/>
  <c r="M15" i="19"/>
  <c r="O15" i="19"/>
  <c r="Q15" i="19"/>
  <c r="O18" i="19"/>
  <c r="O19" i="19"/>
  <c r="O23" i="19" s="1"/>
  <c r="O24" i="19" s="1"/>
  <c r="C3" i="18"/>
  <c r="C29" i="18" s="1"/>
  <c r="C4" i="18"/>
  <c r="C30" i="18" s="1"/>
  <c r="C5" i="18"/>
  <c r="B7" i="18"/>
  <c r="B8" i="18"/>
  <c r="B9" i="18"/>
  <c r="B10" i="18"/>
  <c r="B11" i="18"/>
  <c r="B32" i="18" s="1"/>
  <c r="B12" i="18"/>
  <c r="B14" i="18"/>
  <c r="B48" i="18" s="1"/>
  <c r="C14" i="18"/>
  <c r="C48" i="18" s="1"/>
  <c r="B15" i="18"/>
  <c r="C15" i="18"/>
  <c r="B16" i="18"/>
  <c r="B49" i="18" s="1"/>
  <c r="C16" i="18"/>
  <c r="C49" i="18" s="1"/>
  <c r="B17" i="18"/>
  <c r="C17" i="18"/>
  <c r="C50" i="18" s="1"/>
  <c r="B18" i="18"/>
  <c r="B51" i="18" s="1"/>
  <c r="C18" i="18"/>
  <c r="C51" i="18" s="1"/>
  <c r="B20" i="18"/>
  <c r="B53" i="18" s="1"/>
  <c r="C24" i="18"/>
  <c r="B25" i="18"/>
  <c r="B56" i="18" s="1"/>
  <c r="C25" i="18"/>
  <c r="C56" i="18" s="1"/>
  <c r="D28" i="18"/>
  <c r="E28" i="18"/>
  <c r="F28" i="18"/>
  <c r="G28" i="18"/>
  <c r="B34" i="18"/>
  <c r="B39" i="18"/>
  <c r="B42" i="18"/>
  <c r="B45" i="18"/>
  <c r="B50" i="18"/>
  <c r="E57" i="18"/>
  <c r="F57" i="18"/>
  <c r="G57" i="18"/>
  <c r="B58" i="18"/>
  <c r="I62" i="18"/>
  <c r="K62" i="18" s="1"/>
  <c r="F4" i="19" s="1"/>
  <c r="F7" i="19" s="1"/>
  <c r="F8" i="19" s="1"/>
  <c r="E4" i="17"/>
  <c r="B1" i="14"/>
  <c r="A3" i="14"/>
  <c r="B3" i="14"/>
  <c r="G3" i="18" s="1"/>
  <c r="B4" i="14"/>
  <c r="G4" i="18" s="1"/>
  <c r="G30" i="18" s="1"/>
  <c r="A5" i="14"/>
  <c r="B5" i="14"/>
  <c r="G5" i="18" s="1"/>
  <c r="A7" i="14"/>
  <c r="B7" i="14"/>
  <c r="G34" i="18" s="1"/>
  <c r="A8" i="14"/>
  <c r="B8" i="14"/>
  <c r="G7" i="18" s="1"/>
  <c r="A9" i="14"/>
  <c r="B9" i="14"/>
  <c r="G8" i="18" s="1"/>
  <c r="A10" i="14"/>
  <c r="B10" i="14"/>
  <c r="G9" i="18" s="1"/>
  <c r="G43" i="18" s="1"/>
  <c r="A11" i="14"/>
  <c r="B11" i="14"/>
  <c r="G10" i="18" s="1"/>
  <c r="A12" i="14"/>
  <c r="B12" i="14"/>
  <c r="G11" i="18" s="1"/>
  <c r="G32" i="18" s="1"/>
  <c r="G36" i="18" s="1"/>
  <c r="G39" i="18" s="1"/>
  <c r="A13" i="14"/>
  <c r="B13" i="14"/>
  <c r="G12" i="18" s="1"/>
  <c r="G37" i="18" s="1"/>
  <c r="A14" i="14"/>
  <c r="B14" i="14"/>
  <c r="A16" i="14"/>
  <c r="B16" i="14"/>
  <c r="G14" i="18" s="1"/>
  <c r="G31" i="18" s="1"/>
  <c r="E8" i="17" s="1"/>
  <c r="A17" i="14"/>
  <c r="B17" i="14"/>
  <c r="G15" i="18" s="1"/>
  <c r="A18" i="14"/>
  <c r="B18" i="14"/>
  <c r="G16" i="18" s="1"/>
  <c r="A19" i="14"/>
  <c r="B19" i="14"/>
  <c r="G17" i="18" s="1"/>
  <c r="A21" i="14"/>
  <c r="B21" i="14"/>
  <c r="G18" i="18" s="1"/>
  <c r="A22" i="14"/>
  <c r="A26" i="14"/>
  <c r="B26" i="14"/>
  <c r="G24" i="18" s="1"/>
  <c r="A27" i="14"/>
  <c r="B27" i="14"/>
  <c r="G25" i="18" s="1"/>
  <c r="A29" i="14"/>
  <c r="B1" i="13"/>
  <c r="A3" i="13"/>
  <c r="B3" i="13"/>
  <c r="F3" i="18" s="1"/>
  <c r="B4" i="13"/>
  <c r="F4" i="18" s="1"/>
  <c r="F30" i="18" s="1"/>
  <c r="A5" i="13"/>
  <c r="B5" i="13"/>
  <c r="F5" i="18" s="1"/>
  <c r="A7" i="13"/>
  <c r="B7" i="13"/>
  <c r="F34" i="18" s="1"/>
  <c r="A8" i="13"/>
  <c r="B8" i="13"/>
  <c r="F7" i="18" s="1"/>
  <c r="A9" i="13"/>
  <c r="B9" i="13"/>
  <c r="F8" i="18" s="1"/>
  <c r="A10" i="13"/>
  <c r="B10" i="13"/>
  <c r="F9" i="18" s="1"/>
  <c r="F43" i="18" s="1"/>
  <c r="A11" i="13"/>
  <c r="B11" i="13"/>
  <c r="F10" i="18" s="1"/>
  <c r="A12" i="13"/>
  <c r="B12" i="13"/>
  <c r="F11" i="18" s="1"/>
  <c r="F32" i="18" s="1"/>
  <c r="F36" i="18" s="1"/>
  <c r="F39" i="18" s="1"/>
  <c r="F42" i="18" s="1"/>
  <c r="F44" i="18" s="1"/>
  <c r="A13" i="13"/>
  <c r="B13" i="13"/>
  <c r="F12" i="18" s="1"/>
  <c r="F37" i="18" s="1"/>
  <c r="A14" i="13"/>
  <c r="B14" i="13"/>
  <c r="A16" i="13"/>
  <c r="B16" i="13"/>
  <c r="F14" i="18" s="1"/>
  <c r="F31" i="18" s="1"/>
  <c r="E9" i="17" s="1"/>
  <c r="A17" i="13"/>
  <c r="B17" i="13"/>
  <c r="F15" i="18" s="1"/>
  <c r="A18" i="13"/>
  <c r="B18" i="13"/>
  <c r="F16" i="18" s="1"/>
  <c r="A19" i="13"/>
  <c r="B19" i="13"/>
  <c r="F17" i="18" s="1"/>
  <c r="A21" i="13"/>
  <c r="B21" i="13"/>
  <c r="F18" i="18" s="1"/>
  <c r="A22" i="13"/>
  <c r="A26" i="13"/>
  <c r="B26" i="13"/>
  <c r="F24" i="18" s="1"/>
  <c r="A27" i="13"/>
  <c r="B27" i="13"/>
  <c r="F25" i="18" s="1"/>
  <c r="A3" i="12"/>
  <c r="B3" i="12"/>
  <c r="E3" i="18" s="1"/>
  <c r="E29" i="18" s="1"/>
  <c r="B4" i="12"/>
  <c r="E4" i="18" s="1"/>
  <c r="E30" i="18" s="1"/>
  <c r="A5" i="12"/>
  <c r="B5" i="12"/>
  <c r="E5" i="18" s="1"/>
  <c r="A7" i="12"/>
  <c r="B7" i="12"/>
  <c r="E34" i="18" s="1"/>
  <c r="A8" i="12"/>
  <c r="B8" i="12"/>
  <c r="E7" i="18" s="1"/>
  <c r="A9" i="12"/>
  <c r="B9" i="12"/>
  <c r="E8" i="18" s="1"/>
  <c r="A10" i="12"/>
  <c r="B10" i="12"/>
  <c r="E9" i="18" s="1"/>
  <c r="E43" i="18" s="1"/>
  <c r="A11" i="12"/>
  <c r="B11" i="12"/>
  <c r="E10" i="18" s="1"/>
  <c r="A12" i="12"/>
  <c r="B12" i="12"/>
  <c r="E11" i="18" s="1"/>
  <c r="E32" i="18" s="1"/>
  <c r="E36" i="18" s="1"/>
  <c r="E39" i="18" s="1"/>
  <c r="E42" i="18" s="1"/>
  <c r="E44" i="18" s="1"/>
  <c r="A13" i="12"/>
  <c r="B13" i="12"/>
  <c r="E12" i="18" s="1"/>
  <c r="E37" i="18" s="1"/>
  <c r="A14" i="12"/>
  <c r="B14" i="12"/>
  <c r="A16" i="12"/>
  <c r="B16" i="12"/>
  <c r="E14" i="18" s="1"/>
  <c r="E31" i="18" s="1"/>
  <c r="E6" i="17" s="1"/>
  <c r="A17" i="12"/>
  <c r="B17" i="12"/>
  <c r="E15" i="18" s="1"/>
  <c r="A18" i="12"/>
  <c r="B18" i="12"/>
  <c r="E16" i="18" s="1"/>
  <c r="A19" i="12"/>
  <c r="B19" i="12"/>
  <c r="E17" i="18" s="1"/>
  <c r="A21" i="12"/>
  <c r="B21" i="12"/>
  <c r="E18" i="18" s="1"/>
  <c r="A22" i="12"/>
  <c r="A26" i="12"/>
  <c r="B26" i="12"/>
  <c r="E24" i="18" s="1"/>
  <c r="A27" i="12"/>
  <c r="B27" i="12"/>
  <c r="E25" i="18" s="1"/>
  <c r="A29" i="12"/>
  <c r="B1" i="11"/>
  <c r="A3" i="11"/>
  <c r="B3" i="11"/>
  <c r="D3" i="18" s="1"/>
  <c r="D29" i="18" s="1"/>
  <c r="B4" i="11"/>
  <c r="D4" i="18" s="1"/>
  <c r="D30" i="18" s="1"/>
  <c r="A5" i="11"/>
  <c r="B5" i="11"/>
  <c r="D5" i="18" s="1"/>
  <c r="A7" i="11"/>
  <c r="B7" i="11"/>
  <c r="D34" i="18" s="1"/>
  <c r="A8" i="11"/>
  <c r="B8" i="11"/>
  <c r="D7" i="18" s="1"/>
  <c r="A9" i="11"/>
  <c r="B9" i="11"/>
  <c r="D8" i="18" s="1"/>
  <c r="A10" i="11"/>
  <c r="D9" i="18"/>
  <c r="D43" i="18" s="1"/>
  <c r="A11" i="11"/>
  <c r="B11" i="11"/>
  <c r="D10" i="18" s="1"/>
  <c r="A12" i="11"/>
  <c r="B12" i="11"/>
  <c r="D11" i="18" s="1"/>
  <c r="D32" i="18" s="1"/>
  <c r="A13" i="11"/>
  <c r="B13" i="11"/>
  <c r="D12" i="18" s="1"/>
  <c r="D37" i="18" s="1"/>
  <c r="A14" i="11"/>
  <c r="B14" i="11"/>
  <c r="A16" i="11"/>
  <c r="B16" i="11"/>
  <c r="E5" i="17" s="1"/>
  <c r="A17" i="11"/>
  <c r="B17" i="11"/>
  <c r="D15" i="18" s="1"/>
  <c r="A18" i="11"/>
  <c r="B18" i="11"/>
  <c r="D16" i="18" s="1"/>
  <c r="A19" i="11"/>
  <c r="B19" i="11"/>
  <c r="D17" i="18" s="1"/>
  <c r="A21" i="11"/>
  <c r="B21" i="11"/>
  <c r="D18" i="18" s="1"/>
  <c r="A22" i="11"/>
  <c r="A26" i="11"/>
  <c r="B26" i="11"/>
  <c r="D24" i="18" s="1"/>
  <c r="A27" i="11"/>
  <c r="B27" i="11"/>
  <c r="D25" i="18" s="1"/>
  <c r="A29" i="11"/>
  <c r="C20" i="18"/>
  <c r="C53" i="18" s="1"/>
  <c r="B22" i="11"/>
  <c r="D20" i="18" s="1"/>
  <c r="B22" i="12"/>
  <c r="E20" i="18" s="1"/>
  <c r="B22" i="13"/>
  <c r="F20" i="18" s="1"/>
  <c r="B22" i="14"/>
  <c r="G20" i="18" s="1"/>
  <c r="O13" i="19" l="1"/>
  <c r="T13" i="19" s="1"/>
  <c r="W4" i="19"/>
  <c r="E45" i="18"/>
  <c r="E58" i="18" s="1"/>
  <c r="G62" i="18"/>
  <c r="F45" i="18"/>
  <c r="F58" i="18" s="1"/>
  <c r="T14" i="19"/>
  <c r="D62" i="18"/>
  <c r="F62" i="18"/>
  <c r="C62" i="18"/>
  <c r="E62" i="18"/>
  <c r="G42" i="18"/>
  <c r="G44" i="18" s="1"/>
  <c r="G29" i="18"/>
  <c r="B31" i="18"/>
  <c r="F29" i="18"/>
  <c r="D36" i="18"/>
  <c r="D39" i="18" s="1"/>
  <c r="C31" i="18"/>
  <c r="T15" i="19"/>
  <c r="F9" i="19"/>
  <c r="M5" i="19"/>
  <c r="R5" i="19" s="1"/>
  <c r="O4" i="19"/>
  <c r="R4" i="19" s="1"/>
  <c r="Y4" i="19"/>
  <c r="K71" i="18" s="1"/>
  <c r="B11" i="3"/>
  <c r="J69" i="8"/>
  <c r="L69" i="8" s="1"/>
  <c r="T16" i="19" l="1"/>
  <c r="O26" i="19" s="1"/>
  <c r="G45" i="18"/>
  <c r="G58" i="18" s="1"/>
  <c r="R6" i="19"/>
  <c r="K70" i="18" s="1"/>
  <c r="D42" i="18"/>
  <c r="D44" i="18" s="1"/>
  <c r="D11" i="19"/>
  <c r="C17" i="19" s="1"/>
  <c r="D12" i="19"/>
  <c r="C18" i="19" s="1"/>
  <c r="E7" i="17"/>
  <c r="B4" i="17"/>
  <c r="H31" i="8"/>
  <c r="G31" i="8"/>
  <c r="F31" i="8"/>
  <c r="E31" i="8"/>
  <c r="D31" i="8"/>
  <c r="C26" i="8"/>
  <c r="C60" i="8" s="1"/>
  <c r="B26" i="8"/>
  <c r="B60" i="8" s="1"/>
  <c r="C59" i="8"/>
  <c r="B59" i="8"/>
  <c r="C23" i="8"/>
  <c r="C57" i="8" s="1"/>
  <c r="B23" i="8"/>
  <c r="B57" i="8" s="1"/>
  <c r="C22" i="8"/>
  <c r="C56" i="8" s="1"/>
  <c r="B22" i="8"/>
  <c r="B56" i="8" s="1"/>
  <c r="B24" i="8"/>
  <c r="B58" i="8" s="1"/>
  <c r="C21" i="8"/>
  <c r="C55" i="8" s="1"/>
  <c r="B21" i="8"/>
  <c r="B55" i="8" s="1"/>
  <c r="C18" i="8"/>
  <c r="B18" i="8"/>
  <c r="C17" i="8"/>
  <c r="B17" i="8"/>
  <c r="C16" i="8"/>
  <c r="C52" i="8" s="1"/>
  <c r="B16" i="8"/>
  <c r="B52" i="8" s="1"/>
  <c r="C4" i="8"/>
  <c r="C33" i="8" s="1"/>
  <c r="C3" i="8"/>
  <c r="A30" i="6"/>
  <c r="B27" i="6"/>
  <c r="H26" i="8" s="1"/>
  <c r="A27" i="6"/>
  <c r="B25" i="6"/>
  <c r="A25" i="6"/>
  <c r="B23" i="6"/>
  <c r="H23" i="8" s="1"/>
  <c r="A23" i="6"/>
  <c r="B22" i="6"/>
  <c r="H22" i="8" s="1"/>
  <c r="A22" i="6"/>
  <c r="A24" i="6"/>
  <c r="B21" i="6"/>
  <c r="H21" i="8" s="1"/>
  <c r="A21" i="6"/>
  <c r="B18" i="6"/>
  <c r="H18" i="8" s="1"/>
  <c r="A18" i="6"/>
  <c r="B17" i="6"/>
  <c r="H17" i="8" s="1"/>
  <c r="A17" i="6"/>
  <c r="B16" i="6"/>
  <c r="H16" i="8" s="1"/>
  <c r="A16" i="6"/>
  <c r="B14" i="6"/>
  <c r="H14" i="8" s="1"/>
  <c r="A14" i="6"/>
  <c r="B13" i="6"/>
  <c r="H13" i="8" s="1"/>
  <c r="A13" i="6"/>
  <c r="B12" i="6"/>
  <c r="H12" i="8" s="1"/>
  <c r="H38" i="8" s="1"/>
  <c r="A12" i="6"/>
  <c r="B11" i="6"/>
  <c r="H11" i="8" s="1"/>
  <c r="A11" i="6"/>
  <c r="B10" i="6"/>
  <c r="H10" i="8" s="1"/>
  <c r="A10" i="6"/>
  <c r="A9" i="6"/>
  <c r="B8" i="6"/>
  <c r="H8" i="8" s="1"/>
  <c r="A8" i="6"/>
  <c r="B7" i="6"/>
  <c r="H7" i="8" s="1"/>
  <c r="H47" i="8" s="1"/>
  <c r="A7" i="6"/>
  <c r="B5" i="6"/>
  <c r="H5" i="8" s="1"/>
  <c r="A5" i="6"/>
  <c r="B4" i="6"/>
  <c r="H4" i="8" s="1"/>
  <c r="H33" i="8" s="1"/>
  <c r="B3" i="6"/>
  <c r="H3" i="8" s="1"/>
  <c r="A3" i="6"/>
  <c r="B1" i="6"/>
  <c r="A30" i="5"/>
  <c r="B27" i="5"/>
  <c r="G26" i="8" s="1"/>
  <c r="A27" i="5"/>
  <c r="B25" i="5"/>
  <c r="A25" i="5"/>
  <c r="B23" i="5"/>
  <c r="G23" i="8" s="1"/>
  <c r="A23" i="5"/>
  <c r="B22" i="5"/>
  <c r="G22" i="8" s="1"/>
  <c r="A22" i="5"/>
  <c r="A24" i="5"/>
  <c r="B21" i="5"/>
  <c r="G21" i="8" s="1"/>
  <c r="A21" i="5"/>
  <c r="B18" i="5"/>
  <c r="G18" i="8" s="1"/>
  <c r="A18" i="5"/>
  <c r="B17" i="5"/>
  <c r="G17" i="8" s="1"/>
  <c r="A17" i="5"/>
  <c r="B16" i="5"/>
  <c r="G16" i="8" s="1"/>
  <c r="M14" i="9" s="1"/>
  <c r="A16" i="5"/>
  <c r="B14" i="5"/>
  <c r="G14" i="8" s="1"/>
  <c r="A14" i="5"/>
  <c r="B13" i="5"/>
  <c r="G13" i="8" s="1"/>
  <c r="A13" i="5"/>
  <c r="B12" i="5"/>
  <c r="G12" i="8" s="1"/>
  <c r="G38" i="8" s="1"/>
  <c r="A12" i="5"/>
  <c r="B11" i="5"/>
  <c r="G11" i="8" s="1"/>
  <c r="A11" i="5"/>
  <c r="B10" i="5"/>
  <c r="G10" i="8" s="1"/>
  <c r="A10" i="5"/>
  <c r="A9" i="5"/>
  <c r="B8" i="5"/>
  <c r="G8" i="8" s="1"/>
  <c r="M15" i="9" s="1"/>
  <c r="A8" i="5"/>
  <c r="B7" i="5"/>
  <c r="G7" i="8" s="1"/>
  <c r="G47" i="8" s="1"/>
  <c r="A7" i="5"/>
  <c r="B5" i="5"/>
  <c r="G5" i="8" s="1"/>
  <c r="A5" i="5"/>
  <c r="B4" i="5"/>
  <c r="G4" i="8" s="1"/>
  <c r="G33" i="8" s="1"/>
  <c r="B3" i="5"/>
  <c r="G3" i="8" s="1"/>
  <c r="A3" i="5"/>
  <c r="B1" i="5"/>
  <c r="A30" i="4"/>
  <c r="B27" i="4"/>
  <c r="F26" i="8" s="1"/>
  <c r="A27" i="4"/>
  <c r="B25" i="4"/>
  <c r="A25" i="4"/>
  <c r="B23" i="4"/>
  <c r="F23" i="8" s="1"/>
  <c r="A23" i="4"/>
  <c r="B22" i="4"/>
  <c r="F22" i="8" s="1"/>
  <c r="A22" i="4"/>
  <c r="A24" i="4"/>
  <c r="B21" i="4"/>
  <c r="F21" i="8" s="1"/>
  <c r="A21" i="4"/>
  <c r="B18" i="4"/>
  <c r="F18" i="8" s="1"/>
  <c r="A18" i="4"/>
  <c r="B17" i="4"/>
  <c r="F17" i="8" s="1"/>
  <c r="A17" i="4"/>
  <c r="B16" i="4"/>
  <c r="F16" i="8" s="1"/>
  <c r="L14" i="9" s="1"/>
  <c r="A16" i="4"/>
  <c r="B14" i="4"/>
  <c r="F14" i="8" s="1"/>
  <c r="A14" i="4"/>
  <c r="B13" i="4"/>
  <c r="F13" i="8" s="1"/>
  <c r="A13" i="4"/>
  <c r="B12" i="4"/>
  <c r="F12" i="8" s="1"/>
  <c r="F38" i="8" s="1"/>
  <c r="A12" i="4"/>
  <c r="B11" i="4"/>
  <c r="F11" i="8" s="1"/>
  <c r="A11" i="4"/>
  <c r="B10" i="4"/>
  <c r="F10" i="8" s="1"/>
  <c r="A10" i="4"/>
  <c r="A9" i="4"/>
  <c r="B8" i="4"/>
  <c r="F8" i="8" s="1"/>
  <c r="L15" i="9" s="1"/>
  <c r="A8" i="4"/>
  <c r="B7" i="4"/>
  <c r="F7" i="8" s="1"/>
  <c r="F47" i="8" s="1"/>
  <c r="A7" i="4"/>
  <c r="B5" i="4"/>
  <c r="F5" i="8" s="1"/>
  <c r="A5" i="4"/>
  <c r="B4" i="4"/>
  <c r="F4" i="8" s="1"/>
  <c r="F33" i="8" s="1"/>
  <c r="B3" i="4"/>
  <c r="F3" i="8" s="1"/>
  <c r="A3" i="4"/>
  <c r="B1" i="4"/>
  <c r="A30" i="3"/>
  <c r="B27" i="3"/>
  <c r="E26" i="8" s="1"/>
  <c r="A27" i="3"/>
  <c r="B25" i="3"/>
  <c r="A25" i="3"/>
  <c r="B23" i="3"/>
  <c r="E23" i="8" s="1"/>
  <c r="A23" i="3"/>
  <c r="B22" i="3"/>
  <c r="E22" i="8" s="1"/>
  <c r="A22" i="3"/>
  <c r="A24" i="3"/>
  <c r="B21" i="3"/>
  <c r="E21" i="8" s="1"/>
  <c r="A21" i="3"/>
  <c r="B18" i="3"/>
  <c r="E18" i="8" s="1"/>
  <c r="A18" i="3"/>
  <c r="B17" i="3"/>
  <c r="A17" i="3"/>
  <c r="B16" i="3"/>
  <c r="E16" i="8" s="1"/>
  <c r="K14" i="9" s="1"/>
  <c r="A16" i="3"/>
  <c r="B14" i="3"/>
  <c r="E14" i="8" s="1"/>
  <c r="A14" i="3"/>
  <c r="B13" i="3"/>
  <c r="E13" i="8" s="1"/>
  <c r="A13" i="3"/>
  <c r="B12" i="3"/>
  <c r="A12" i="3"/>
  <c r="E11" i="8"/>
  <c r="A11" i="3"/>
  <c r="B10" i="3"/>
  <c r="E10" i="8" s="1"/>
  <c r="A10" i="3"/>
  <c r="A9" i="3"/>
  <c r="B8" i="3"/>
  <c r="E8" i="8" s="1"/>
  <c r="K15" i="9" s="1"/>
  <c r="A8" i="3"/>
  <c r="B7" i="3"/>
  <c r="E7" i="8" s="1"/>
  <c r="E47" i="8" s="1"/>
  <c r="A7" i="3"/>
  <c r="B5" i="3"/>
  <c r="E5" i="8" s="1"/>
  <c r="A5" i="3"/>
  <c r="B4" i="3"/>
  <c r="E4" i="8" s="1"/>
  <c r="E33" i="8" s="1"/>
  <c r="B3" i="3"/>
  <c r="E3" i="8" s="1"/>
  <c r="A3" i="3"/>
  <c r="A30" i="2"/>
  <c r="B27" i="2"/>
  <c r="D26" i="8" s="1"/>
  <c r="A27" i="2"/>
  <c r="B25" i="2"/>
  <c r="A25" i="2"/>
  <c r="B23" i="2"/>
  <c r="D23" i="8" s="1"/>
  <c r="A23" i="2"/>
  <c r="B22" i="2"/>
  <c r="D22" i="8" s="1"/>
  <c r="A22" i="2"/>
  <c r="A24" i="2"/>
  <c r="B21" i="2"/>
  <c r="D21" i="8" s="1"/>
  <c r="A21" i="2"/>
  <c r="B18" i="2"/>
  <c r="D18" i="8" s="1"/>
  <c r="A18" i="2"/>
  <c r="B17" i="2"/>
  <c r="D17" i="8" s="1"/>
  <c r="A17" i="2"/>
  <c r="B16" i="2"/>
  <c r="D16" i="8" s="1"/>
  <c r="J14" i="9" s="1"/>
  <c r="A16" i="2"/>
  <c r="B14" i="2"/>
  <c r="D14" i="8" s="1"/>
  <c r="A14" i="2"/>
  <c r="B13" i="2"/>
  <c r="D13" i="8" s="1"/>
  <c r="A13" i="2"/>
  <c r="B12" i="2"/>
  <c r="D12" i="8" s="1"/>
  <c r="D38" i="8" s="1"/>
  <c r="A12" i="2"/>
  <c r="B11" i="2"/>
  <c r="D11" i="8" s="1"/>
  <c r="A11" i="2"/>
  <c r="B10" i="2"/>
  <c r="D10" i="8" s="1"/>
  <c r="A10" i="2"/>
  <c r="A9" i="2"/>
  <c r="B8" i="2"/>
  <c r="D8" i="8" s="1"/>
  <c r="J15" i="9" s="1"/>
  <c r="A8" i="2"/>
  <c r="B7" i="2"/>
  <c r="D7" i="8" s="1"/>
  <c r="D47" i="8" s="1"/>
  <c r="A7" i="2"/>
  <c r="B5" i="2"/>
  <c r="D5" i="8" s="1"/>
  <c r="A5" i="2"/>
  <c r="B4" i="2"/>
  <c r="D4" i="8" s="1"/>
  <c r="D33" i="8" s="1"/>
  <c r="B3" i="2"/>
  <c r="D3" i="8" s="1"/>
  <c r="A3" i="2"/>
  <c r="B1" i="2"/>
  <c r="B24" i="6"/>
  <c r="H24" i="8" s="1"/>
  <c r="B9" i="6"/>
  <c r="H9" i="8" s="1"/>
  <c r="H36" i="8" s="1"/>
  <c r="H40" i="8" s="1"/>
  <c r="H43" i="8" s="1"/>
  <c r="H46" i="8" s="1"/>
  <c r="H49" i="8" s="1"/>
  <c r="B24" i="5"/>
  <c r="G24" i="8" s="1"/>
  <c r="B9" i="5"/>
  <c r="G9" i="8" s="1"/>
  <c r="G36" i="8" s="1"/>
  <c r="G40" i="8" s="1"/>
  <c r="G43" i="8" s="1"/>
  <c r="G46" i="8" s="1"/>
  <c r="G49" i="8" s="1"/>
  <c r="B24" i="4"/>
  <c r="F24" i="8" s="1"/>
  <c r="B9" i="4"/>
  <c r="F9" i="8" s="1"/>
  <c r="F36" i="8" s="1"/>
  <c r="F40" i="8" s="1"/>
  <c r="F43" i="8" s="1"/>
  <c r="F46" i="8" s="1"/>
  <c r="F49" i="8" s="1"/>
  <c r="B24" i="3"/>
  <c r="E24" i="8" s="1"/>
  <c r="B9" i="3"/>
  <c r="E9" i="8" s="1"/>
  <c r="E36" i="8" s="1"/>
  <c r="E40" i="8" s="1"/>
  <c r="E43" i="8" s="1"/>
  <c r="E46" i="8" s="1"/>
  <c r="E49" i="8" s="1"/>
  <c r="B24" i="2"/>
  <c r="D24" i="8" s="1"/>
  <c r="B9" i="2"/>
  <c r="D9" i="8" s="1"/>
  <c r="D36" i="8" s="1"/>
  <c r="AF3" i="1"/>
  <c r="C24" i="8"/>
  <c r="C58" i="8" s="1"/>
  <c r="C5" i="8"/>
  <c r="M16" i="9" l="1"/>
  <c r="N15" i="9"/>
  <c r="N7" i="9"/>
  <c r="N14" i="9"/>
  <c r="N16" i="9" s="1"/>
  <c r="N5" i="9"/>
  <c r="N6" i="9" s="1"/>
  <c r="N8" i="9" s="1"/>
  <c r="G67" i="8"/>
  <c r="E67" i="8"/>
  <c r="C67" i="8"/>
  <c r="D67" i="8"/>
  <c r="F67" i="8"/>
  <c r="L16" i="9"/>
  <c r="J16" i="9"/>
  <c r="K16" i="9"/>
  <c r="D45" i="18"/>
  <c r="D58" i="18" s="1"/>
  <c r="E12" i="8"/>
  <c r="E38" i="8" s="1"/>
  <c r="D35" i="8"/>
  <c r="E5" i="9" s="1"/>
  <c r="J5" i="9"/>
  <c r="J6" i="9" s="1"/>
  <c r="F34" i="8"/>
  <c r="L7" i="9"/>
  <c r="G35" i="8"/>
  <c r="E9" i="9" s="1"/>
  <c r="M5" i="9"/>
  <c r="M6" i="9" s="1"/>
  <c r="E35" i="8"/>
  <c r="E10" i="9" s="1"/>
  <c r="K5" i="9"/>
  <c r="K6" i="9" s="1"/>
  <c r="H34" i="8"/>
  <c r="D34" i="8"/>
  <c r="J7" i="9"/>
  <c r="G34" i="8"/>
  <c r="M7" i="9"/>
  <c r="H35" i="8"/>
  <c r="E8" i="9" s="1"/>
  <c r="E34" i="8"/>
  <c r="K7" i="9"/>
  <c r="F35" i="8"/>
  <c r="E7" i="9" s="1"/>
  <c r="L5" i="9"/>
  <c r="L6" i="9" s="1"/>
  <c r="G63" i="8"/>
  <c r="F8" i="17"/>
  <c r="F5" i="17"/>
  <c r="F6" i="17"/>
  <c r="F9" i="17"/>
  <c r="F13" i="19"/>
  <c r="F14" i="19" s="1"/>
  <c r="I79" i="18" s="1"/>
  <c r="K79" i="18" s="1"/>
  <c r="H63" i="8"/>
  <c r="F63" i="8"/>
  <c r="E63" i="8"/>
  <c r="E32" i="8"/>
  <c r="H32" i="8"/>
  <c r="D32" i="8"/>
  <c r="G32" i="8"/>
  <c r="D40" i="8"/>
  <c r="D43" i="8" s="1"/>
  <c r="D46" i="8" s="1"/>
  <c r="D49" i="8" s="1"/>
  <c r="D63" i="8" s="1"/>
  <c r="F32" i="8"/>
  <c r="C32" i="8"/>
  <c r="C35" i="8"/>
  <c r="B4" i="9" s="1"/>
  <c r="F8" i="9" l="1"/>
  <c r="G6" i="17"/>
  <c r="G5" i="17"/>
  <c r="G8" i="17"/>
  <c r="G68" i="8"/>
  <c r="D68" i="8"/>
  <c r="E68" i="8"/>
  <c r="C68" i="8"/>
  <c r="F68" i="8"/>
  <c r="C63" i="18"/>
  <c r="E63" i="18"/>
  <c r="G63" i="18"/>
  <c r="D63" i="18"/>
  <c r="F63" i="18"/>
  <c r="K8" i="9"/>
  <c r="L8" i="9"/>
  <c r="M8" i="9"/>
  <c r="J8" i="9"/>
  <c r="E6" i="9"/>
  <c r="F10" i="9" l="1"/>
  <c r="F5" i="9"/>
  <c r="G8" i="9" s="1"/>
  <c r="F7" i="9"/>
  <c r="F9" i="9"/>
  <c r="G9" i="9" l="1"/>
  <c r="G7" i="9"/>
  <c r="G10"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<sst xmlns="http://schemas.openxmlformats.org/spreadsheetml/2006/main" count="655" uniqueCount="374">
  <si>
    <t>Sale</t>
  </si>
  <si>
    <t>Address</t>
  </si>
  <si>
    <t>City</t>
  </si>
  <si>
    <t>Parcel No.(s)</t>
  </si>
  <si>
    <t>Date of Sale</t>
  </si>
  <si>
    <t>Sale Price</t>
  </si>
  <si>
    <t>Price/SF</t>
  </si>
  <si>
    <t>Grantor</t>
  </si>
  <si>
    <t>Grantee</t>
  </si>
  <si>
    <t>Property Rights</t>
  </si>
  <si>
    <t>Occupancy ATOS</t>
  </si>
  <si>
    <t>Verification</t>
  </si>
  <si>
    <t>Gross Building Area (SF)</t>
  </si>
  <si>
    <t>Year Built</t>
  </si>
  <si>
    <t>Site Size (SF)</t>
  </si>
  <si>
    <t>Quality</t>
  </si>
  <si>
    <t>Parking Spaces</t>
  </si>
  <si>
    <t>Parking Ratio</t>
  </si>
  <si>
    <t>Effective Age/Condition</t>
  </si>
  <si>
    <t>Building Use</t>
  </si>
  <si>
    <t>Other</t>
  </si>
  <si>
    <t>Zoning</t>
  </si>
  <si>
    <t>Comments</t>
  </si>
  <si>
    <t>Notes</t>
  </si>
  <si>
    <t>FAR</t>
  </si>
  <si>
    <t>Price/Lot</t>
  </si>
  <si>
    <t>Subject</t>
  </si>
  <si>
    <t>Good</t>
  </si>
  <si>
    <t>None</t>
  </si>
  <si>
    <t>Listing Broker</t>
  </si>
  <si>
    <t>Average</t>
  </si>
  <si>
    <t>Comparable Sale 1</t>
  </si>
  <si>
    <t>Location Details</t>
  </si>
  <si>
    <t>Transaction Data</t>
  </si>
  <si>
    <t>Physical Attributes</t>
  </si>
  <si>
    <t>Comparable Sale 2</t>
  </si>
  <si>
    <t>Comparable Sale 3</t>
  </si>
  <si>
    <t>Comparable Sale 4</t>
  </si>
  <si>
    <t>Comparable Sale 5</t>
  </si>
  <si>
    <t>A</t>
  </si>
  <si>
    <t>Sale 1</t>
  </si>
  <si>
    <t>Sale 2</t>
  </si>
  <si>
    <t>Sale 3</t>
  </si>
  <si>
    <t>Sale 4</t>
  </si>
  <si>
    <t>Sale 5</t>
  </si>
  <si>
    <t>Transactional Adjustments</t>
  </si>
  <si>
    <t>Adjustment</t>
  </si>
  <si>
    <t>Adjusted Sale Price/SF</t>
  </si>
  <si>
    <t>Cash Equivalency</t>
  </si>
  <si>
    <t>Assumed Market</t>
  </si>
  <si>
    <t>Conditions of Sale</t>
  </si>
  <si>
    <t>Market Conditions</t>
  </si>
  <si>
    <t>Property Adjustments</t>
  </si>
  <si>
    <t>Location</t>
  </si>
  <si>
    <t>Net Adjustment</t>
  </si>
  <si>
    <t>Minimum</t>
  </si>
  <si>
    <t>Maximum</t>
  </si>
  <si>
    <t>Mean</t>
  </si>
  <si>
    <t>Median</t>
  </si>
  <si>
    <t>Std Dev</t>
  </si>
  <si>
    <t>Unadjusted Sales Price/SF</t>
  </si>
  <si>
    <t>Adjusted Sales Price/SF</t>
  </si>
  <si>
    <t>Row Height: 17</t>
  </si>
  <si>
    <t>Difference (SF)</t>
  </si>
  <si>
    <t>Applied Adjustment</t>
  </si>
  <si>
    <t>-</t>
  </si>
  <si>
    <t>Farm List</t>
  </si>
  <si>
    <t>Market Value “As-Is”</t>
  </si>
  <si>
    <t>Sales Comparison Approach</t>
  </si>
  <si>
    <t>Unit Value</t>
  </si>
  <si>
    <t>Indicated Value</t>
  </si>
  <si>
    <t>Rounded:</t>
  </si>
  <si>
    <t>Base</t>
  </si>
  <si>
    <t>Typical</t>
  </si>
  <si>
    <t>Direct</t>
  </si>
  <si>
    <t>Rentable Building Area (SF)</t>
  </si>
  <si>
    <t>Expense Structure</t>
  </si>
  <si>
    <t>Property Rights Conveyed</t>
  </si>
  <si>
    <t>Lease Rate (S/SF/Yr)</t>
  </si>
  <si>
    <t>Lease Term</t>
  </si>
  <si>
    <t>Lease Date</t>
  </si>
  <si>
    <t>Lease Type</t>
  </si>
  <si>
    <t>Tenant</t>
  </si>
  <si>
    <t>Comparable Rental 1</t>
  </si>
  <si>
    <t>Comparable Rental 2</t>
  </si>
  <si>
    <t>Comparable Rental 3</t>
  </si>
  <si>
    <t>Comparable Rental 4</t>
  </si>
  <si>
    <t>Rental 2</t>
  </si>
  <si>
    <t>Rental 1</t>
  </si>
  <si>
    <t>Rental 4</t>
  </si>
  <si>
    <t>Rental 3</t>
  </si>
  <si>
    <t>Capitalization Rate</t>
  </si>
  <si>
    <t>Net Operating Income</t>
  </si>
  <si>
    <t>Income Capitalization Approach</t>
  </si>
  <si>
    <t>Market Value “’As-Is”</t>
  </si>
  <si>
    <t>Conclusion</t>
  </si>
  <si>
    <t>Debt Coverage Ratio Technique</t>
  </si>
  <si>
    <t>Mortgage-Equity Technique</t>
  </si>
  <si>
    <t>Realty Rates Investor Survey*</t>
  </si>
  <si>
    <t>Range</t>
  </si>
  <si>
    <t>Capitalization Rate Conclusion</t>
  </si>
  <si>
    <t>Adjusted Rent Per SF</t>
  </si>
  <si>
    <t>Unadjusted Rent Per SF</t>
  </si>
  <si>
    <t>Annual Rent</t>
  </si>
  <si>
    <t xml:space="preserve">Market Rent </t>
  </si>
  <si>
    <t>Building Size (SF)</t>
  </si>
  <si>
    <t>Conditions of Lease</t>
  </si>
  <si>
    <t>Lease Structure</t>
  </si>
  <si>
    <t>Adjusted Rent/SF/Yr</t>
  </si>
  <si>
    <t>Adjusted Rate</t>
  </si>
  <si>
    <t>Adjustment Factor</t>
  </si>
  <si>
    <t>Times SFF</t>
  </si>
  <si>
    <t>Appreciation/Depreciation</t>
  </si>
  <si>
    <t>Adjustment for Change in Value</t>
  </si>
  <si>
    <t>SFF</t>
  </si>
  <si>
    <t>debt reduction</t>
  </si>
  <si>
    <t>=</t>
  </si>
  <si>
    <t>X</t>
  </si>
  <si>
    <t>Debt Reduction</t>
  </si>
  <si>
    <t>Total Expenses</t>
  </si>
  <si>
    <t>Equity Requirement</t>
  </si>
  <si>
    <t>Reserves</t>
  </si>
  <si>
    <t>Mortgage Requirement</t>
  </si>
  <si>
    <t>Property Management</t>
  </si>
  <si>
    <t>Mortgage-Equity Capitalization Rate</t>
  </si>
  <si>
    <t>Expenses</t>
  </si>
  <si>
    <t>Effective Gross Income</t>
  </si>
  <si>
    <t>Years</t>
  </si>
  <si>
    <t>Holding Period</t>
  </si>
  <si>
    <t>Vacancy and Collection Loss</t>
  </si>
  <si>
    <t>Equity Dividend Rate</t>
  </si>
  <si>
    <t>Potential Gross Income</t>
  </si>
  <si>
    <t>Indicated Capitalization Rate</t>
  </si>
  <si>
    <t>Mortgage Constant</t>
  </si>
  <si>
    <t>Reimbursements</t>
  </si>
  <si>
    <t>Mortgage Ratio (Loan-to-Value)</t>
  </si>
  <si>
    <t>Other Income</t>
  </si>
  <si>
    <t>Amortization Period</t>
  </si>
  <si>
    <t>Base Rent</t>
  </si>
  <si>
    <t>Debt Coverage Ratio</t>
  </si>
  <si>
    <t>Mortgage Ratio</t>
  </si>
  <si>
    <t>Mortgage Interest Rate</t>
  </si>
  <si>
    <t>Revenue</t>
  </si>
  <si>
    <t>Band of Investment Assumptions</t>
  </si>
  <si>
    <t>Income Pro Forma </t>
  </si>
  <si>
    <t>Site Utility</t>
  </si>
  <si>
    <t>Total Cost</t>
  </si>
  <si>
    <t>Unit Cost</t>
  </si>
  <si>
    <t>Units</t>
  </si>
  <si>
    <t>Heating &amp; Cooling</t>
  </si>
  <si>
    <t>Exterior Walls</t>
  </si>
  <si>
    <t>Base Cost</t>
  </si>
  <si>
    <t>Economic Life</t>
  </si>
  <si>
    <t>Effective Age</t>
  </si>
  <si>
    <t>Cap Rate</t>
  </si>
  <si>
    <t xml:space="preserve">    NOI</t>
  </si>
  <si>
    <t>Size - SF</t>
  </si>
  <si>
    <t>Sale Date</t>
  </si>
  <si>
    <t>Property Address</t>
  </si>
  <si>
    <t>Indicated Replacement Cost</t>
  </si>
  <si>
    <t xml:space="preserve">   Insurance Exclusions</t>
  </si>
  <si>
    <t>Total Base Cost</t>
  </si>
  <si>
    <t>Quality/Class</t>
  </si>
  <si>
    <t>Occupancy</t>
  </si>
  <si>
    <t>Replacement Cost Calculations</t>
  </si>
  <si>
    <t>Total Property Taxes</t>
  </si>
  <si>
    <t>Assessed Value</t>
  </si>
  <si>
    <t>Tax Year</t>
  </si>
  <si>
    <t>Parcel No(s).</t>
  </si>
  <si>
    <t xml:space="preserve">    Times Millage Rate</t>
  </si>
  <si>
    <t>Total Tax-Appraised Value</t>
  </si>
  <si>
    <t xml:space="preserve">    Improvement Value</t>
  </si>
  <si>
    <t xml:space="preserve">    Land Value</t>
  </si>
  <si>
    <t>Tax-Appraised Value:</t>
  </si>
  <si>
    <t>Market Value Conclusion</t>
  </si>
  <si>
    <t>ONE DOLLAR</t>
  </si>
  <si>
    <t>Effective Date of Value</t>
  </si>
  <si>
    <t>Market Value “As Is”</t>
  </si>
  <si>
    <t>Total Costs</t>
  </si>
  <si>
    <t>Total Leasing Costs:</t>
  </si>
  <si>
    <t xml:space="preserve">  Leasing Commissions   $45.00 psf x 1,005 sf x 6% x 5 years</t>
  </si>
  <si>
    <t xml:space="preserve">  Tenant Improvement Allowance   $0.00 psf</t>
  </si>
  <si>
    <t xml:space="preserve">  Rent Loss   $45,225 x 0.25</t>
  </si>
  <si>
    <t>Lease-Up Costs:</t>
  </si>
  <si>
    <t>Stabilization/Lease-Up Costs</t>
  </si>
  <si>
    <t>Total Project Costs</t>
  </si>
  <si>
    <t>Project Costs</t>
  </si>
  <si>
    <t>Development Schedule</t>
  </si>
  <si>
    <t xml:space="preserve">TVAS File No. </t>
  </si>
  <si>
    <t>Parcel No(s)</t>
  </si>
  <si>
    <t>Current Owner(s)</t>
  </si>
  <si>
    <t>Previous Market Sale</t>
  </si>
  <si>
    <t>Previous Sale Price</t>
  </si>
  <si>
    <t>Property Status</t>
  </si>
  <si>
    <t>Total Land Area</t>
  </si>
  <si>
    <t>Site Shape</t>
  </si>
  <si>
    <t>Topography</t>
  </si>
  <si>
    <t>Current Zoning</t>
  </si>
  <si>
    <t>Utilities</t>
  </si>
  <si>
    <t>Remaining Economic Life</t>
  </si>
  <si>
    <t>Exposure Time</t>
  </si>
  <si>
    <t>Marketing Time</t>
  </si>
  <si>
    <t>Effective Date</t>
  </si>
  <si>
    <t>All Available</t>
  </si>
  <si>
    <t>6 - 9 months</t>
  </si>
  <si>
    <t>County</t>
  </si>
  <si>
    <t>Zoning Jursdiction</t>
  </si>
  <si>
    <t>Year(s) Built</t>
  </si>
  <si>
    <t>No. of Stories</t>
  </si>
  <si>
    <t>One</t>
  </si>
  <si>
    <t>Construction Class</t>
  </si>
  <si>
    <t>Construction Quality</t>
  </si>
  <si>
    <t xml:space="preserve">Coverage Ratio </t>
  </si>
  <si>
    <t>Parking Type</t>
  </si>
  <si>
    <t>Surface</t>
  </si>
  <si>
    <t>Actual Age</t>
  </si>
  <si>
    <t xml:space="preserve">Other </t>
  </si>
  <si>
    <t>City, State</t>
  </si>
  <si>
    <t>PSF</t>
  </si>
  <si>
    <t>Prospective:</t>
  </si>
  <si>
    <t>"As-Is"</t>
  </si>
  <si>
    <t>Zip Code</t>
  </si>
  <si>
    <t>Class S, Structural Steel-Frame</t>
  </si>
  <si>
    <t>Mezzanine (SF)</t>
  </si>
  <si>
    <t>Finished Ratio</t>
  </si>
  <si>
    <t>Fee Simple</t>
  </si>
  <si>
    <t>Office (SF)</t>
  </si>
  <si>
    <t>Office Ratio</t>
  </si>
  <si>
    <t>Coverage Ratio</t>
  </si>
  <si>
    <t>Eave Height</t>
  </si>
  <si>
    <t>Loading</t>
  </si>
  <si>
    <t>1 GL/4 DH</t>
  </si>
  <si>
    <t>Loading SF</t>
  </si>
  <si>
    <t>3 GL/1 DH</t>
  </si>
  <si>
    <t>Vacant</t>
  </si>
  <si>
    <t>Comparable Sale</t>
  </si>
  <si>
    <t>Office Differential (SF)*</t>
  </si>
  <si>
    <t>Implied Adjustment</t>
  </si>
  <si>
    <t>Height Differential (Feet)</t>
  </si>
  <si>
    <t>NNN</t>
  </si>
  <si>
    <t>Industrial</t>
  </si>
  <si>
    <t>Gainesville, GA</t>
  </si>
  <si>
    <t>Irregular</t>
  </si>
  <si>
    <t>Leased Fee</t>
  </si>
  <si>
    <t xml:space="preserve">   Accessory Value</t>
  </si>
  <si>
    <t>Suwanee, GA</t>
  </si>
  <si>
    <t>1420 Calvary Church Rd</t>
  </si>
  <si>
    <t>122 Ethan Allen Dr</t>
  </si>
  <si>
    <t>Dahlonega, GA</t>
  </si>
  <si>
    <t>4701 Granite Dr</t>
  </si>
  <si>
    <t>Tucker, GA</t>
  </si>
  <si>
    <t>Marietta, GA</t>
  </si>
  <si>
    <t>1205 Hayes Industrial Dr</t>
  </si>
  <si>
    <t>2171 Kingston Ct</t>
  </si>
  <si>
    <t>162 E Midland Ave</t>
  </si>
  <si>
    <t>Winder, GA</t>
  </si>
  <si>
    <t>850 Mountain Industrial Dr</t>
  </si>
  <si>
    <t>3630 Swiftwater Park Dr</t>
  </si>
  <si>
    <t>4.3% - 12.8%</t>
  </si>
  <si>
    <r>
      <t>CoStar Pricing Trend -</t>
    </r>
    <r>
      <rPr>
        <i/>
        <sz val="11"/>
        <color theme="1"/>
        <rFont val="Calibri"/>
        <family val="2"/>
        <scheme val="minor"/>
      </rPr>
      <t>YTD 2Q22</t>
    </r>
  </si>
  <si>
    <t>Contributory Value @ $0.71/LF x Bldg. SF</t>
  </si>
  <si>
    <t>Up to one year</t>
  </si>
  <si>
    <t>4735 Dwight Evans Rd</t>
  </si>
  <si>
    <t>Charlotte, NC</t>
  </si>
  <si>
    <t>145-301-22</t>
  </si>
  <si>
    <t>Mecklenburg</t>
  </si>
  <si>
    <t>Investicore Prop Co 9, LLC</t>
  </si>
  <si>
    <t>Previous Owner</t>
  </si>
  <si>
    <t>Park Avenue Partners, LLC</t>
  </si>
  <si>
    <t>Pending Sale</t>
  </si>
  <si>
    <t>0 GL/3 DH</t>
  </si>
  <si>
    <t>Ceiling Height</t>
  </si>
  <si>
    <t>Finished Office Area</t>
  </si>
  <si>
    <t>General Purpose Warehouse</t>
  </si>
  <si>
    <t>Bulk Warehouse</t>
  </si>
  <si>
    <t>Property Type(s)</t>
  </si>
  <si>
    <t>Property Subtypes(s)</t>
  </si>
  <si>
    <t>Column Spacing</t>
  </si>
  <si>
    <t>45' x 20'</t>
  </si>
  <si>
    <t>Previous Debt</t>
  </si>
  <si>
    <t>Lender</t>
  </si>
  <si>
    <t>Stormfield Cap Funding I, LLC</t>
  </si>
  <si>
    <t>Access</t>
  </si>
  <si>
    <t>Exposure</t>
  </si>
  <si>
    <t>10725 John Price Rd</t>
  </si>
  <si>
    <t>201-181-27</t>
  </si>
  <si>
    <t>1508 Industrial Dr</t>
  </si>
  <si>
    <t>Matthews, NC</t>
  </si>
  <si>
    <t>193-211-07</t>
  </si>
  <si>
    <t>138 Cedar Pointe Dr</t>
  </si>
  <si>
    <t>Mooresville, NC</t>
  </si>
  <si>
    <t>4648-90-4665.000</t>
  </si>
  <si>
    <t>D&amp;G Realty, LLC</t>
  </si>
  <si>
    <t>138 Cedar Pointe, LLC</t>
  </si>
  <si>
    <t>Industrial Flex</t>
  </si>
  <si>
    <t xml:space="preserve">The sale of an industrial flex building located on the east side of Cedar Pointe Drive just east of Interstate 77 within the city limits of Mooresville in Iredell County, North Carolina. The property is currently owner-occupied dba Tiger Precision Products. This is believed to be an all-cash sale. </t>
  </si>
  <si>
    <t>227 Old Hebron St</t>
  </si>
  <si>
    <t>205-171-24</t>
  </si>
  <si>
    <t>OHR Properties, LLC</t>
  </si>
  <si>
    <t>Hop Holdings, LLC</t>
  </si>
  <si>
    <t>Very Good</t>
  </si>
  <si>
    <t>1 GL/2 DH</t>
  </si>
  <si>
    <t>Ancillary Bldg.</t>
  </si>
  <si>
    <t xml:space="preserve">The sale of an industrial flex building located on the north side of Old Hebron Road within the city limits of Charlotte in Mecklenburg County, North Carolina. The site slopes downward from the road frontage which provides for terrace-level, climate-controlled storage below the office portion of the building. The property is also improved with a 2,294-sf ancillary industrial building with two grade-level doors. West Town Bank &amp; Trust financed the deal with a loan in the amount of $1,705,200. </t>
  </si>
  <si>
    <t>205 Raceway Dr</t>
  </si>
  <si>
    <t>4647-44-8341.000</t>
  </si>
  <si>
    <t>Zip Properties, Inc.</t>
  </si>
  <si>
    <t>HSUS Investments, LLC</t>
  </si>
  <si>
    <t>6 GL/0 DH</t>
  </si>
  <si>
    <t>HI</t>
  </si>
  <si>
    <t>The sale of a multi-tenant industrial flex building located on the northeast side of Raceway Drive just west of Interstate 77 within the city limits of Mooresville in Iredell County, North Carolina. At the time of sale, the building consisted of two tenant-occupied suites and a 9,000-sf vacant third suite. The vacant suite is currently marketed for lease with an asking rental rate of $7.00 psf on a triple-net basis. Horizon Bank financed the deal with a ten-year note in the amount of $1,100,000.</t>
  </si>
  <si>
    <t>635 Southwest St</t>
  </si>
  <si>
    <t>High Point, NC</t>
  </si>
  <si>
    <t>Confidence Containers, LLC</t>
  </si>
  <si>
    <t>Brock &amp; Connie Baird</t>
  </si>
  <si>
    <t>Average +</t>
  </si>
  <si>
    <t xml:space="preserve">The sale of an industrial warehouse building located on the east side of Southwest Street within the city limits of High Point in Guilford County, North Carolina. The property is currently offered for lease with an asking rental rate of $6.50 psf on a triple-net lease basis. This is believed to be an all-cash sale. </t>
  </si>
  <si>
    <t>1020 Forsyth Ave</t>
  </si>
  <si>
    <t>Indian Trail, NC</t>
  </si>
  <si>
    <t>07-081-303</t>
  </si>
  <si>
    <t>Pierson Enterprises, LLC</t>
  </si>
  <si>
    <t>Oakway Properties, LLC</t>
  </si>
  <si>
    <t>3 GL/2 DH</t>
  </si>
  <si>
    <t>The sale of a multi-tenant industrial flex building located in Old Hickory Business Park just northeast of East Independence Boulevard within the town limits of Indian Trail in Union County, North Carolina. At the time of sale, two of the three suites were tenant-occupied. South State Bank financed the deal with a seven-year note in the amount of $1,500,000.</t>
  </si>
  <si>
    <t>Match Properties, LLC</t>
  </si>
  <si>
    <t>I-2</t>
  </si>
  <si>
    <t>Heavy Industrial District</t>
  </si>
  <si>
    <t>Charlotte</t>
  </si>
  <si>
    <t>Total Condo GBA (SF)</t>
  </si>
  <si>
    <t>Gently Sloping</t>
  </si>
  <si>
    <t>Frontage</t>
  </si>
  <si>
    <t>Sand Fiddlers Partners, LLC</t>
  </si>
  <si>
    <t>MSE Center LLC</t>
  </si>
  <si>
    <t>1 GL/3 DH</t>
  </si>
  <si>
    <t xml:space="preserve">Industrial  </t>
  </si>
  <si>
    <t>The sale of a freestanding, multi-tenant industrial building located on the southeast side of John Price Road just north of South Tryon Street and about two miles southwest of the Interstate 485/South Tryon Street interchange within the city limits of Charlotte. The building was constructed in 1988 and features concrete block construction, wet sprinkler system and a clear height of 20'. The two-suite building was 50 percent occupied at the time of sale with the tenant leased through August 2026. The property was on the market for about nine months with an original asking price of $2,300,000. Truist Bank financed the deal with a loan in the amount of $1,955,000.</t>
  </si>
  <si>
    <t>Wilkat, LLC</t>
  </si>
  <si>
    <t>The sale of a freestanding industrial building located approximately one mile northwest of the intersection of U.S. Highway 74 and N.C. Highway 51 within the Town of Matthews in Mecklenburg County, North Carolina. The building was constructed in 1986 and features a structural-steel spanning system with a clear height of 18'. The property was on the market for about a month with an asking price of $1,875,000. The building is currently owner-occupied by a foundation repair company dba Cantey Foundation Specialists. First Palmetto Bank financed the deal with a loan in the amount of $1,800,000.</t>
  </si>
  <si>
    <t>3300 Oak Lake Blvd</t>
  </si>
  <si>
    <t>143-261-05</t>
  </si>
  <si>
    <t>Zoe Baby Products</t>
  </si>
  <si>
    <t>Contributory Value $15/SF</t>
  </si>
  <si>
    <t>201 Southside Dr</t>
  </si>
  <si>
    <t>647 Michael Wylie Dr</t>
  </si>
  <si>
    <t>149-031-05</t>
  </si>
  <si>
    <t>J&amp;B Construction</t>
  </si>
  <si>
    <t>0 GL/2 DH</t>
  </si>
  <si>
    <t>1 GL/1 DH</t>
  </si>
  <si>
    <t>This reflects the effective rent for space in a 16,492-square-foot, freestanding industrial building located just east of the Billy Graham Parkway/West Tyvola Road interchange with the city limits of Charlotte in Mecklenburg County, North Carolina. The building is fully-conditioned and has approximately 1,484 square feet of office space. The triple-net lease was executed turn-key with a starting rent of $7.89 per square foot per year having 3.0 percent yearly escalations.</t>
  </si>
  <si>
    <t>Confidential</t>
  </si>
  <si>
    <t>061-123-12</t>
  </si>
  <si>
    <t>2732 Interstate St, Ste F</t>
  </si>
  <si>
    <t>0 GL/1 DH</t>
  </si>
  <si>
    <t>Renner</t>
  </si>
  <si>
    <t>145-271-21</t>
  </si>
  <si>
    <t>2 GL/2 DH</t>
  </si>
  <si>
    <t xml:space="preserve">This reflects the effective rent for space in an 18,090-square-foot, freestanding just north of the Interstate 77/Billy Graham Parkway interchange within the city limits of Charlotte in Mecklenburg County, North Carolina. The building is demised into 1,980 square feet of office space and 16,110 square feet of warehouse space. The ten-year, triple-net lease was executed with a starting rent of $9.95 per square foot per year having yearly escalations of 3 percent with one month free rent and a reported tenant improvement allowance of $1.00 per square foot. </t>
  </si>
  <si>
    <t>This reflects the effective rent for space in a 13,700-square-foot, freestanding industrial building located just northeast of the Billy Graham Parkway/Interstate 77 interchange with the city limits of Charlotte in Mecklenburg County, North Carolina. The building is demised into 3,151 square feet of office space and 10,549 square feet of warehouse space with two dock-high doors. The triple-net lease was executed turn-key with a starting rent of $9.36 per square foot per year and no escalations.</t>
  </si>
  <si>
    <t>10-year term</t>
  </si>
  <si>
    <t>ONE MILLION NINE HUNDRED FIFTY THOUSAND DOLLARS</t>
  </si>
  <si>
    <t xml:space="preserve">This reflects the effective rent for space in a 26,040-square-foot, multi-tenant industrial building located in the Airport 85 Business Park just east of the Billy Graham Parkway/Interstate 85 interchange within the city limits of Charlotte in Mecklenburg County, North Carolina. The unit has approximately 1,200 square feet of office space and one dock-high door. The triple-net lease was executed turn-key with a starting rent of $9.75 per square foot per year and no escalations. The space was on the market for about 10 months with an asking rental rate of $10.00 per square foot.  </t>
  </si>
  <si>
    <t>Avg/C</t>
  </si>
  <si>
    <t>406 Storage Warehouse</t>
  </si>
  <si>
    <t>changed</t>
  </si>
  <si>
    <t xml:space="preserve">new const. or sales/inc not good .. </t>
  </si>
  <si>
    <t>type once write twice</t>
  </si>
  <si>
    <t>LLC in sep tag in word</t>
  </si>
  <si>
    <t>*es_property_info</t>
  </si>
  <si>
    <t>*es_property_history</t>
  </si>
  <si>
    <t>NOTE the *'s are id's in the doc</t>
  </si>
  <si>
    <t>*es_site_characteristics</t>
  </si>
  <si>
    <t>*es_improvements</t>
  </si>
  <si>
    <t>*es_valuation</t>
  </si>
  <si>
    <t>some of these values are not made it to 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</si>
</sst>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409]mmm\-yy;@"/>
    <numFmt numFmtId="165" formatCode="&quot;$&quot;#,##0"/>
    <numFmt numFmtId="166" formatCode="&quot;$&quot;#,##0.00"/>
    <numFmt numFmtId="167" formatCode="0.000"/>
    <numFmt numFmtId="168" formatCode="0.00&quot;/1,000 SF&quot;"/>
    <numFmt numFmtId="169" formatCode="0\ &quot;years&quot;"/>
    <numFmt numFmtId="170" formatCode="0.0%"/>
    <numFmt numFmtId="171" formatCode="#,##0.000"/>
    <numFmt numFmtId="172" formatCode="0\ &quot;months&quot;"/>
    <numFmt numFmtId="173" formatCode="0.0000"/>
    <numFmt numFmtId="174" formatCode="0.00000"/>
    <numFmt numFmtId="175" formatCode="0.0000_);\(0.0000\)"/>
    <numFmt numFmtId="176" formatCode="\ \ \ \ &quot;Times &quot;0&quot;% Assessment&quot;"/>
    <numFmt numFmtId="177" formatCode="[$-409]mmmm\ d\,\ yyyy;@"/>
    <numFmt numFmtId="178" formatCode="&quot;  Leasing Commissions  &quot;0.00&quot; psf &quot;\x&quot; 0e18&quot;"/>
    <numFmt numFmtId="179" formatCode="0&quot;%&quot;"/>
    <numFmt numFmtId="180" formatCode="&quot;Entrepreneurial Incentive  &quot;0&quot;% of Costs&quot;"/>
    <numFmt numFmtId="181" formatCode="#,##0\ &quot;sf&quot;"/>
    <numFmt numFmtId="182" formatCode="&quot;$&quot;0.00\ &quot;psf&quot;"/>
    <numFmt numFmtId="183" formatCode="\ \ \ &quot;Add:  Contingencies @ &quot;0&quot;%&quot;"/>
    <numFmt numFmtId="184" formatCode="0.00\ &quot;Acres&quot;"/>
    <numFmt numFmtId="185" formatCode="00,000\ &quot;SF&quot;"/>
    <numFmt numFmtId="186" formatCode="00\ &quot;feet&quot;"/>
    <numFmt numFmtId="187" formatCode="_(* #,##0_);_(* \(#,##0\);_(* &quot;-&quot;??_);_(@_)"/>
    <numFmt numFmtId="188" formatCode="00.00\ &quot;feet&quot;"/>
  </numFmts>
  <fonts count="39"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i/>
      <sz val="9"/>
      <color rgb="FFC00000"/>
      <name val="Calibri"/>
      <family val="2"/>
      <scheme val="minor"/>
    </font>
    <font>
      <i/>
      <sz val="9"/>
      <color theme="4" tint="-0.249977111117893"/>
      <name val="Calibri"/>
      <family val="2"/>
      <scheme val="minor"/>
    </font>
    <font>
      <sz val="9"/>
      <color theme="1"/>
      <name val="Calibri"/>
      <family val="2"/>
      <scheme val="minor"/>
    </font>
    <font>
      <sz val="9"/>
      <name val="Calibri"/>
      <family val="2"/>
      <scheme val="minor"/>
    </font>
    <font>
      <sz val="9"/>
      <color theme="4" tint="-0.249977111117893"/>
      <name val="Calibri"/>
      <family val="2"/>
      <scheme val="minor"/>
    </font>
    <font>
      <sz val="10"/>
      <color theme="4" tint="-0.249977111117893"/>
      <name val="Calibri"/>
      <family val="2"/>
      <scheme val="minor"/>
    </font>
    <font>
      <sz val="10"/>
      <color theme="1"/>
      <name val="Calibri"/>
      <family val="2"/>
      <scheme val="minor"/>
    </font>
    <font>
      <sz val="10"/>
      <color rgb="FF000000"/>
      <name val="Calibri"/>
      <family val="2"/>
      <scheme val="minor"/>
    </font>
    <font>
      <sz val="9"/>
      <color rgb="FFFF0000"/>
      <name val="Calibri"/>
      <family val="2"/>
      <scheme val="minor"/>
    </font>
    <font>
      <b/>
      <sz val="9"/>
      <name val="Calibri"/>
      <family val="2"/>
      <scheme val="minor"/>
    </font>
    <font>
      <sz val="11"/>
      <name val="Calibri"/>
      <family val="2"/>
      <scheme val="minor"/>
    </font>
    <font>
      <sz val="11"/>
      <color theme="4" tint="-0.249977111117893"/>
      <name val="Calibri"/>
      <family val="2"/>
      <scheme val="minor"/>
    </font>
    <font>
      <i/>
      <sz val="11"/>
      <color theme="4" tint="-0.249977111117893"/>
      <name val="Calibri"/>
      <family val="2"/>
      <scheme val="minor"/>
    </font>
    <font>
      <i/>
      <sz val="11"/>
      <color theme="1"/>
      <name val="Calibri"/>
      <family val="2"/>
      <scheme val="minor"/>
    </font>
    <font>
      <i/>
      <sz val="11"/>
      <color rgb="FF000000"/>
      <name val="Calibri"/>
      <family val="2"/>
      <scheme val="minor"/>
    </font>
    <font>
      <b/>
      <sz val="11"/>
      <color rgb="FF000000"/>
      <name val="Calibri"/>
      <family val="2"/>
    </font>
    <font>
      <sz val="11"/>
      <color rgb="FF000000"/>
      <name val="Calibri"/>
      <family val="2"/>
    </font>
    <font>
      <i/>
      <sz val="9"/>
      <color rgb="FF305496"/>
      <name val="Calibri"/>
      <family val="2"/>
      <scheme val="minor"/>
    </font>
    <font>
      <b/>
      <sz val="11"/>
      <color theme="1"/>
      <name val="Calibri"/>
      <family val="2"/>
      <scheme val="minor"/>
    </font>
    <font>
      <sz val="10"/>
      <name val="Calibri"/>
      <family val="2"/>
      <scheme val="minor"/>
    </font>
    <font>
      <i/>
      <sz val="11"/>
      <color theme="4" tint="-0.499984740745262"/>
      <name val="Calibri"/>
      <family val="2"/>
      <scheme val="minor"/>
    </font>
    <font>
      <sz val="11"/>
      <color rgb="FF000000"/>
      <name val="Calibri"/>
      <family val="2"/>
      <scheme val="minor"/>
    </font>
    <font>
      <i/>
      <sz val="11"/>
      <name val="Calibri"/>
      <family val="2"/>
      <scheme val="minor"/>
    </font>
    <font>
      <b/>
      <i/>
      <sz val="11"/>
      <color rgb="FF000000"/>
      <name val="Calibri"/>
      <family val="2"/>
      <scheme val="minor"/>
    </font>
    <font>
      <b/>
      <sz val="12"/>
      <color theme="1"/>
      <name val="Times New Roman"/>
      <family val="1"/>
    </font>
    <font>
      <i/>
      <sz val="11"/>
      <color rgb="FFC00000"/>
      <name val="Calibri"/>
      <family val="2"/>
      <scheme val="minor"/>
    </font>
    <font>
      <b/>
      <sz val="9"/>
      <color theme="4" tint="-0.249977111117893"/>
      <name val="Calibri"/>
      <family val="2"/>
      <scheme val="minor"/>
    </font>
    <font>
      <i/>
      <u/>
      <sz val="11"/>
      <color theme="4" tint="-0.249977111117893"/>
      <name val="Calibri"/>
      <family val="2"/>
      <scheme val="minor"/>
    </font>
    <font>
      <i/>
      <sz val="11"/>
      <color rgb="FF305496"/>
      <name val="Calibri"/>
      <family val="2"/>
    </font>
    <font>
      <i/>
      <sz val="11"/>
      <color rgb="FF000000"/>
      <name val="Calibri"/>
      <family val="2"/>
    </font>
    <font>
      <sz val="9"/>
      <color theme="0" tint="-0.499984740745262"/>
      <name val="Calibri"/>
      <family val="2"/>
      <scheme val="minor"/>
    </font>
    <font>
      <sz val="8"/>
      <name val="Calibri"/>
      <family val="2"/>
      <scheme val="minor"/>
    </font>
    <font>
      <sz val="11"/>
      <color rgb="FFFF0000"/>
      <name val="Calibri"/>
      <family val="2"/>
      <scheme val="minor"/>
    </font>
    <font>
      <u/>
      <sz val="11"/>
      <color theme="10"/>
      <name val="Calibri"/>
      <family val="2"/>
      <scheme val="minor"/>
    </font>
    <font>
      <sz val="11"/>
      <color theme="1"/>
      <name val="Calibri (Body)"/>
    </font>
  </fonts>
  <fills count="14">
    <fill>
      <patternFill patternType="none"/>
    </fill>
    <fill>
      <patternFill patternType="gray125"/>
    </fill>
    <fill>
      <patternFill patternType="solid">
        <fgColor rgb="FFC6EFCE"/>
      </patternFill>
    </fill>
    <fill>
      <patternFill patternType="solid">
        <fgColor rgb="FFFFC7CE"/>
      </patternFill>
    </fill>
    <fill>
      <patternFill patternType="solid">
        <fgColor rgb="FFD9D9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BDD7EE"/>
        <bgColor rgb="FF000000"/>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BDD6EE"/>
        <bgColor indexed="64"/>
      </patternFill>
    </fill>
    <fill>
      <patternFill patternType="solid">
        <fgColor rgb="FFFFFFFF"/>
        <bgColor indexed="64"/>
      </patternFill>
    </fill>
    <fill>
      <patternFill patternType="solid">
        <fgColor rgb="FFD9D9D9"/>
        <bgColor rgb="FF000000"/>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37" fillId="0" borderId="0" applyNumberFormat="0" applyFill="0" applyBorder="0" applyAlignment="0" applyProtection="0"/>
  </cellStyleXfs>
  <cellXfs count="534">
    <xf numFmtId="0" fontId="0" fillId="0" borderId="0" xfId="0"/>
    <xf numFmtId="0" fontId="4" fillId="0" borderId="0" xfId="0" applyFont="1" applyAlignment="1">
      <alignment horizontal="center" vertical="center"/>
    </xf>
    <xf numFmtId="0" fontId="4" fillId="0" borderId="0" xfId="0" applyFont="1" applyAlignment="1">
      <alignment horizontal="left" vertical="center"/>
    </xf>
    <xf numFmtId="164" fontId="4" fillId="0" borderId="0" xfId="0" applyNumberFormat="1" applyFont="1" applyAlignment="1">
      <alignment horizontal="right" vertical="center"/>
    </xf>
    <xf numFmtId="165" fontId="4" fillId="0" borderId="0" xfId="0" applyNumberFormat="1" applyFont="1" applyAlignment="1">
      <alignment horizontal="right" vertical="center"/>
    </xf>
    <xf numFmtId="166" fontId="4" fillId="0" borderId="0" xfId="0" applyNumberFormat="1" applyFont="1" applyAlignment="1">
      <alignment horizontal="right" vertical="center"/>
    </xf>
    <xf numFmtId="166" fontId="4" fillId="0" borderId="0" xfId="0" applyNumberFormat="1" applyFont="1" applyAlignment="1">
      <alignment horizontal="left" vertical="center"/>
    </xf>
    <xf numFmtId="9" fontId="4" fillId="0" borderId="0" xfId="0" applyNumberFormat="1" applyFont="1" applyAlignment="1">
      <alignment horizontal="left" vertical="center"/>
    </xf>
    <xf numFmtId="3" fontId="4" fillId="0" borderId="0" xfId="0" applyNumberFormat="1" applyFont="1" applyAlignment="1">
      <alignment horizontal="right" vertical="center"/>
    </xf>
    <xf numFmtId="0" fontId="4" fillId="0" borderId="0" xfId="0" applyFont="1" applyAlignment="1">
      <alignment horizontal="right" vertical="center"/>
    </xf>
    <xf numFmtId="3" fontId="4" fillId="0" borderId="0" xfId="1" applyNumberFormat="1" applyFont="1" applyFill="1" applyBorder="1" applyAlignment="1">
      <alignment horizontal="right" vertical="center"/>
    </xf>
    <xf numFmtId="167" fontId="4" fillId="0" borderId="0" xfId="0" applyNumberFormat="1" applyFont="1" applyAlignment="1">
      <alignment horizontal="right" vertical="center"/>
    </xf>
    <xf numFmtId="0" fontId="5" fillId="0" borderId="0" xfId="0" applyFont="1" applyAlignment="1">
      <alignment horizontal="center" vertical="center"/>
    </xf>
    <xf numFmtId="0" fontId="5" fillId="0" borderId="0" xfId="0" applyFont="1" applyAlignment="1">
      <alignment horizontal="left" vertical="center"/>
    </xf>
    <xf numFmtId="164" fontId="5" fillId="0" borderId="0" xfId="0" applyNumberFormat="1" applyFont="1" applyAlignment="1">
      <alignment horizontal="right" vertical="center"/>
    </xf>
    <xf numFmtId="165" fontId="5" fillId="0" borderId="0" xfId="0" applyNumberFormat="1" applyFont="1" applyAlignment="1">
      <alignment horizontal="right" vertical="center"/>
    </xf>
    <xf numFmtId="166" fontId="5" fillId="0" borderId="0" xfId="0" applyNumberFormat="1" applyFont="1" applyAlignment="1">
      <alignment horizontal="right" vertical="center"/>
    </xf>
    <xf numFmtId="166" fontId="5" fillId="0" borderId="0" xfId="0" applyNumberFormat="1" applyFont="1" applyAlignment="1">
      <alignment horizontal="left" vertical="center"/>
    </xf>
    <xf numFmtId="9" fontId="5" fillId="0" borderId="0" xfId="0" applyNumberFormat="1" applyFont="1" applyAlignment="1">
      <alignment horizontal="left" vertical="center"/>
    </xf>
    <xf numFmtId="3" fontId="5" fillId="0" borderId="0" xfId="0" applyNumberFormat="1" applyFont="1" applyAlignment="1">
      <alignment horizontal="right" vertical="center"/>
    </xf>
    <xf numFmtId="0" fontId="5" fillId="0" borderId="0" xfId="0" applyFont="1" applyAlignment="1">
      <alignment horizontal="right" vertical="center"/>
    </xf>
    <xf numFmtId="3" fontId="5" fillId="0" borderId="0" xfId="1" applyNumberFormat="1" applyFont="1" applyFill="1" applyBorder="1" applyAlignment="1">
      <alignment horizontal="right" vertical="center"/>
    </xf>
    <xf numFmtId="2" fontId="6" fillId="0" borderId="0" xfId="1" applyNumberFormat="1" applyFont="1" applyFill="1" applyBorder="1" applyAlignment="1">
      <alignment horizontal="right" vertical="center"/>
    </xf>
    <xf numFmtId="167" fontId="6" fillId="0" borderId="0" xfId="0" applyNumberFormat="1" applyFont="1" applyAlignment="1">
      <alignment horizontal="right" vertical="center"/>
    </xf>
    <xf numFmtId="0" fontId="6" fillId="0" borderId="0" xfId="0" applyFont="1" applyAlignment="1">
      <alignment horizontal="center" vertical="center"/>
    </xf>
    <xf numFmtId="0" fontId="6" fillId="0" borderId="0" xfId="0" applyFont="1" applyAlignment="1">
      <alignment horizontal="left" vertical="center"/>
    </xf>
    <xf numFmtId="164" fontId="6" fillId="0" borderId="0" xfId="0" applyNumberFormat="1" applyFont="1" applyAlignment="1">
      <alignment horizontal="right" vertical="center"/>
    </xf>
    <xf numFmtId="165" fontId="6" fillId="0" borderId="0" xfId="0" applyNumberFormat="1" applyFont="1" applyAlignment="1">
      <alignment horizontal="right" vertical="center"/>
    </xf>
    <xf numFmtId="166" fontId="6" fillId="0" borderId="0" xfId="0" applyNumberFormat="1" applyFont="1" applyAlignment="1">
      <alignment horizontal="right" vertical="center"/>
    </xf>
    <xf numFmtId="166" fontId="6" fillId="0" borderId="0" xfId="0" applyNumberFormat="1" applyFont="1" applyAlignment="1">
      <alignment horizontal="left" vertical="center"/>
    </xf>
    <xf numFmtId="9" fontId="6" fillId="0" borderId="0" xfId="0" applyNumberFormat="1" applyFont="1" applyAlignment="1">
      <alignment horizontal="left" vertical="center"/>
    </xf>
    <xf numFmtId="3" fontId="6" fillId="0" borderId="0" xfId="0" applyNumberFormat="1" applyFont="1" applyAlignment="1">
      <alignment horizontal="right" vertical="center"/>
    </xf>
    <xf numFmtId="0" fontId="6" fillId="0" borderId="0" xfId="0" applyFont="1" applyAlignment="1">
      <alignment horizontal="right" vertical="center"/>
    </xf>
    <xf numFmtId="3" fontId="6" fillId="0" borderId="0" xfId="1" applyNumberFormat="1" applyFont="1" applyFill="1" applyBorder="1" applyAlignment="1">
      <alignment horizontal="right" vertical="center"/>
    </xf>
    <xf numFmtId="4" fontId="6" fillId="0" borderId="0" xfId="1" applyNumberFormat="1" applyFont="1" applyFill="1" applyBorder="1" applyAlignment="1">
      <alignment horizontal="right"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164" fontId="6" fillId="0" borderId="1" xfId="0" applyNumberFormat="1" applyFont="1" applyBorder="1" applyAlignment="1">
      <alignment horizontal="right" vertical="center"/>
    </xf>
    <xf numFmtId="165" fontId="6" fillId="0" borderId="1" xfId="0" applyNumberFormat="1" applyFont="1" applyBorder="1" applyAlignment="1">
      <alignment horizontal="right" vertical="center"/>
    </xf>
    <xf numFmtId="166" fontId="6" fillId="0" borderId="1" xfId="0" applyNumberFormat="1" applyFont="1" applyBorder="1" applyAlignment="1">
      <alignment horizontal="right" vertical="center"/>
    </xf>
    <xf numFmtId="166" fontId="6" fillId="0" borderId="1" xfId="0" applyNumberFormat="1" applyFont="1" applyBorder="1" applyAlignment="1">
      <alignment horizontal="left" vertical="center"/>
    </xf>
    <xf numFmtId="9" fontId="6" fillId="0" borderId="1" xfId="0" applyNumberFormat="1" applyFont="1" applyBorder="1" applyAlignment="1">
      <alignment horizontal="left" vertical="center"/>
    </xf>
    <xf numFmtId="3" fontId="6" fillId="0" borderId="1" xfId="0" applyNumberFormat="1" applyFont="1" applyBorder="1" applyAlignment="1">
      <alignment horizontal="right" vertical="center"/>
    </xf>
    <xf numFmtId="0" fontId="6" fillId="0" borderId="1" xfId="0" applyFont="1" applyBorder="1" applyAlignment="1">
      <alignment horizontal="right" vertical="center"/>
    </xf>
    <xf numFmtId="3" fontId="6" fillId="0" borderId="1" xfId="1" applyNumberFormat="1" applyFont="1" applyFill="1" applyBorder="1" applyAlignment="1">
      <alignment horizontal="right" vertical="center"/>
    </xf>
    <xf numFmtId="2" fontId="6" fillId="0" borderId="1" xfId="1" applyNumberFormat="1" applyFont="1" applyFill="1" applyBorder="1" applyAlignment="1">
      <alignment horizontal="right" vertical="center"/>
    </xf>
    <xf numFmtId="167" fontId="6" fillId="0" borderId="1" xfId="0" applyNumberFormat="1" applyFont="1" applyBorder="1" applyAlignment="1">
      <alignment horizontal="right" vertical="center"/>
    </xf>
    <xf numFmtId="0" fontId="7" fillId="0" borderId="0" xfId="0" applyFont="1" applyAlignment="1">
      <alignment horizontal="center" vertical="center"/>
    </xf>
    <xf numFmtId="3" fontId="6" fillId="0" borderId="0" xfId="1" applyNumberFormat="1" applyFont="1" applyAlignment="1">
      <alignment horizontal="right" vertical="center"/>
    </xf>
    <xf numFmtId="0" fontId="10" fillId="0" borderId="0" xfId="0" applyFont="1"/>
    <xf numFmtId="0" fontId="11" fillId="0" borderId="0" xfId="0" applyFont="1" applyAlignment="1">
      <alignment horizontal="left" vertical="center" wrapText="1"/>
    </xf>
    <xf numFmtId="0" fontId="10" fillId="0" borderId="0" xfId="0" applyFont="1" applyAlignment="1">
      <alignment horizontal="left" vertical="center"/>
    </xf>
    <xf numFmtId="14" fontId="11" fillId="0" borderId="0" xfId="0" applyNumberFormat="1" applyFont="1" applyAlignment="1">
      <alignment vertical="center" wrapText="1"/>
    </xf>
    <xf numFmtId="14" fontId="11" fillId="0" borderId="0" xfId="0" applyNumberFormat="1" applyFont="1" applyAlignment="1">
      <alignment horizontal="left" vertical="center" wrapText="1"/>
    </xf>
    <xf numFmtId="165" fontId="11" fillId="0" borderId="0" xfId="0" applyNumberFormat="1" applyFont="1" applyAlignment="1">
      <alignment horizontal="left" vertical="center" wrapText="1"/>
    </xf>
    <xf numFmtId="166" fontId="11" fillId="0" borderId="0" xfId="0" applyNumberFormat="1" applyFont="1" applyAlignment="1">
      <alignment horizontal="left" vertical="center" wrapText="1"/>
    </xf>
    <xf numFmtId="0" fontId="11" fillId="0" borderId="0" xfId="0" applyFont="1" applyAlignment="1">
      <alignment horizontal="left" vertical="center"/>
    </xf>
    <xf numFmtId="9" fontId="11" fillId="0" borderId="0" xfId="0" applyNumberFormat="1" applyFont="1" applyAlignment="1">
      <alignment vertical="center" wrapText="1"/>
    </xf>
    <xf numFmtId="9" fontId="11" fillId="0" borderId="0" xfId="0" applyNumberFormat="1" applyFont="1" applyAlignment="1">
      <alignment horizontal="left" vertical="center" wrapText="1"/>
    </xf>
    <xf numFmtId="3" fontId="11" fillId="0" borderId="0" xfId="0" applyNumberFormat="1" applyFont="1" applyAlignment="1">
      <alignment vertical="center" wrapText="1"/>
    </xf>
    <xf numFmtId="3" fontId="11" fillId="0" borderId="0" xfId="0" applyNumberFormat="1" applyFont="1" applyAlignment="1">
      <alignment horizontal="left" vertical="center" wrapText="1"/>
    </xf>
    <xf numFmtId="0" fontId="11" fillId="0" borderId="0" xfId="0" applyFont="1" applyAlignment="1">
      <alignment vertical="center" wrapText="1"/>
    </xf>
    <xf numFmtId="3" fontId="11" fillId="0" borderId="0" xfId="3" applyNumberFormat="1" applyFont="1" applyAlignment="1">
      <alignment horizontal="left" vertical="center" wrapText="1"/>
    </xf>
    <xf numFmtId="168" fontId="11" fillId="0" borderId="0" xfId="0" applyNumberFormat="1" applyFont="1" applyAlignment="1">
      <alignment horizontal="left" vertical="center" wrapText="1"/>
    </xf>
    <xf numFmtId="169" fontId="11" fillId="0" borderId="0" xfId="3" applyNumberFormat="1" applyFont="1" applyAlignment="1">
      <alignment horizontal="left" vertical="center" wrapText="1"/>
    </xf>
    <xf numFmtId="0" fontId="10"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center" vertical="center" wrapText="1"/>
    </xf>
    <xf numFmtId="0" fontId="8" fillId="5" borderId="0" xfId="0" applyFont="1" applyFill="1" applyAlignment="1">
      <alignment horizontal="center" vertical="center" wrapText="1"/>
    </xf>
    <xf numFmtId="0" fontId="8" fillId="0" borderId="0" xfId="0" applyFont="1"/>
    <xf numFmtId="0" fontId="8" fillId="4" borderId="0" xfId="0" applyFont="1" applyFill="1" applyAlignment="1">
      <alignment vertical="center" wrapText="1"/>
    </xf>
    <xf numFmtId="0" fontId="7" fillId="4" borderId="0" xfId="0" applyFont="1" applyFill="1" applyAlignment="1">
      <alignment horizontal="center" vertical="center" wrapText="1"/>
    </xf>
    <xf numFmtId="0" fontId="7" fillId="0" borderId="0" xfId="0" applyFont="1"/>
    <xf numFmtId="0" fontId="6" fillId="0" borderId="0" xfId="0" applyFont="1" applyAlignment="1">
      <alignment horizontal="center" vertical="center" wrapText="1"/>
    </xf>
    <xf numFmtId="0" fontId="7" fillId="0" borderId="0" xfId="0" applyFont="1" applyAlignment="1">
      <alignment horizontal="center" vertical="center" wrapText="1"/>
    </xf>
    <xf numFmtId="0" fontId="2" fillId="0" borderId="0" xfId="4" applyFill="1"/>
    <xf numFmtId="0" fontId="7" fillId="0" borderId="0" xfId="0" applyFont="1" applyAlignment="1">
      <alignment vertical="center" wrapText="1"/>
    </xf>
    <xf numFmtId="1" fontId="6" fillId="0" borderId="0" xfId="0" applyNumberFormat="1" applyFont="1" applyAlignment="1">
      <alignment horizontal="center" vertical="center" wrapText="1"/>
    </xf>
    <xf numFmtId="14" fontId="6" fillId="0" borderId="0" xfId="0" applyNumberFormat="1" applyFont="1" applyAlignment="1">
      <alignment horizontal="center" vertical="center" wrapText="1"/>
    </xf>
    <xf numFmtId="14" fontId="7" fillId="0" borderId="0" xfId="0" applyNumberFormat="1" applyFont="1" applyAlignment="1">
      <alignment horizontal="center" vertical="center" wrapText="1"/>
    </xf>
    <xf numFmtId="165" fontId="6" fillId="0" borderId="0" xfId="0" applyNumberFormat="1" applyFont="1" applyAlignment="1">
      <alignment horizontal="center" vertical="center" wrapText="1"/>
    </xf>
    <xf numFmtId="165" fontId="7" fillId="0" borderId="0" xfId="0" applyNumberFormat="1" applyFont="1" applyAlignment="1">
      <alignment horizontal="center" vertical="center" wrapText="1"/>
    </xf>
    <xf numFmtId="166" fontId="6" fillId="0" borderId="0" xfId="0" applyNumberFormat="1" applyFont="1" applyAlignment="1">
      <alignment horizontal="center" vertical="center" wrapText="1"/>
    </xf>
    <xf numFmtId="166" fontId="6" fillId="0" borderId="0" xfId="2" applyNumberFormat="1" applyFont="1" applyAlignment="1">
      <alignment horizontal="center" vertical="center" wrapText="1"/>
    </xf>
    <xf numFmtId="9" fontId="6" fillId="0" borderId="0" xfId="3" applyFont="1" applyAlignment="1">
      <alignment horizontal="center" vertical="center" wrapText="1"/>
    </xf>
    <xf numFmtId="9" fontId="6" fillId="0" borderId="0" xfId="0" applyNumberFormat="1" applyFont="1" applyAlignment="1">
      <alignment horizontal="center" vertical="center" wrapText="1"/>
    </xf>
    <xf numFmtId="3" fontId="6" fillId="0" borderId="0" xfId="0" applyNumberFormat="1" applyFont="1" applyAlignment="1">
      <alignment vertical="center" wrapText="1"/>
    </xf>
    <xf numFmtId="3" fontId="6" fillId="0" borderId="0" xfId="0" applyNumberFormat="1" applyFont="1" applyAlignment="1">
      <alignment horizontal="center" vertical="center" wrapText="1"/>
    </xf>
    <xf numFmtId="3" fontId="7" fillId="0" borderId="0" xfId="0" applyNumberFormat="1" applyFont="1" applyAlignment="1">
      <alignment horizontal="center" vertical="center" wrapText="1"/>
    </xf>
    <xf numFmtId="0" fontId="6" fillId="0" borderId="0" xfId="0" applyFont="1" applyAlignment="1">
      <alignment vertical="center" wrapText="1"/>
    </xf>
    <xf numFmtId="170" fontId="6" fillId="0" borderId="0" xfId="3" applyNumberFormat="1" applyFont="1" applyAlignment="1">
      <alignment horizontal="center" vertical="center" wrapText="1"/>
    </xf>
    <xf numFmtId="168" fontId="6" fillId="0" borderId="0" xfId="0" applyNumberFormat="1" applyFont="1" applyAlignment="1">
      <alignment horizontal="center" vertical="center" wrapText="1"/>
    </xf>
    <xf numFmtId="169" fontId="6" fillId="0" borderId="0" xfId="3" applyNumberFormat="1" applyFont="1" applyAlignment="1">
      <alignment horizontal="center" vertical="center" wrapText="1"/>
    </xf>
    <xf numFmtId="169" fontId="6" fillId="0" borderId="0" xfId="0" applyNumberFormat="1" applyFont="1" applyAlignment="1">
      <alignment horizontal="center" vertical="center" wrapText="1"/>
    </xf>
    <xf numFmtId="0" fontId="12" fillId="0" borderId="0" xfId="0" applyFont="1"/>
    <xf numFmtId="0" fontId="12" fillId="0" borderId="0" xfId="0" applyFont="1" applyAlignment="1">
      <alignment vertical="center" wrapText="1"/>
    </xf>
    <xf numFmtId="171" fontId="12" fillId="0" borderId="0" xfId="1" applyNumberFormat="1" applyFont="1" applyAlignment="1">
      <alignment horizontal="centerContinuous" vertical="center" wrapText="1"/>
    </xf>
    <xf numFmtId="0" fontId="12" fillId="0" borderId="0" xfId="0" applyFont="1" applyAlignment="1">
      <alignment horizontal="center" vertical="center"/>
    </xf>
    <xf numFmtId="166" fontId="12" fillId="0" borderId="0" xfId="0" applyNumberFormat="1" applyFont="1" applyAlignment="1">
      <alignment horizontal="center" vertical="center"/>
    </xf>
    <xf numFmtId="0" fontId="8" fillId="4" borderId="0" xfId="0" applyFont="1" applyFill="1" applyAlignment="1">
      <alignment horizontal="justify" vertical="center" wrapText="1"/>
    </xf>
    <xf numFmtId="0" fontId="8" fillId="4" borderId="0" xfId="0" applyFont="1" applyFill="1" applyAlignment="1">
      <alignment horizontal="center" vertical="center" wrapText="1"/>
    </xf>
    <xf numFmtId="0" fontId="3" fillId="0" borderId="0" xfId="5" applyFill="1"/>
    <xf numFmtId="165" fontId="7" fillId="0" borderId="0" xfId="0" applyNumberFormat="1" applyFont="1"/>
    <xf numFmtId="165" fontId="7" fillId="0" borderId="0" xfId="0" applyNumberFormat="1" applyFont="1" applyAlignment="1">
      <alignment horizontal="justify" vertical="center" wrapText="1"/>
    </xf>
    <xf numFmtId="0" fontId="7" fillId="0" borderId="0" xfId="0" applyFont="1" applyAlignment="1">
      <alignment horizontal="justify" vertical="center" wrapText="1"/>
    </xf>
    <xf numFmtId="166" fontId="7" fillId="0" borderId="0" xfId="0" applyNumberFormat="1" applyFont="1" applyAlignment="1">
      <alignment horizontal="center" vertical="center" wrapText="1"/>
    </xf>
    <xf numFmtId="170" fontId="7" fillId="0" borderId="0" xfId="3" applyNumberFormat="1" applyFont="1" applyBorder="1" applyAlignment="1">
      <alignment horizontal="justify" vertical="center" wrapText="1"/>
    </xf>
    <xf numFmtId="170" fontId="7" fillId="0" borderId="0" xfId="3" applyNumberFormat="1" applyFont="1" applyBorder="1" applyAlignment="1">
      <alignment horizontal="center" vertical="center" wrapText="1"/>
    </xf>
    <xf numFmtId="170" fontId="7" fillId="0" borderId="0" xfId="3" applyNumberFormat="1" applyFont="1"/>
    <xf numFmtId="164" fontId="7" fillId="0" borderId="0" xfId="0" applyNumberFormat="1" applyFont="1" applyAlignment="1">
      <alignment horizontal="center" vertical="center" wrapText="1"/>
    </xf>
    <xf numFmtId="0" fontId="13" fillId="4" borderId="0" xfId="0" applyFont="1" applyFill="1" applyAlignment="1">
      <alignment horizontal="center" vertical="center" wrapText="1"/>
    </xf>
    <xf numFmtId="170" fontId="7" fillId="0" borderId="0" xfId="0" applyNumberFormat="1" applyFont="1" applyAlignment="1">
      <alignment horizontal="center" vertical="center" wrapText="1"/>
    </xf>
    <xf numFmtId="0" fontId="7" fillId="0" borderId="0" xfId="0" applyFont="1" applyAlignment="1">
      <alignment horizontal="left" vertical="center" wrapText="1"/>
    </xf>
    <xf numFmtId="168" fontId="7" fillId="0" borderId="0" xfId="3" applyNumberFormat="1" applyFont="1" applyBorder="1" applyAlignment="1">
      <alignment horizontal="center" vertical="center" wrapText="1"/>
    </xf>
    <xf numFmtId="170" fontId="7" fillId="0" borderId="0" xfId="0" applyNumberFormat="1" applyFont="1" applyAlignment="1">
      <alignment horizontal="center"/>
    </xf>
    <xf numFmtId="165" fontId="8" fillId="6" borderId="0" xfId="0" applyNumberFormat="1" applyFont="1" applyFill="1" applyAlignment="1">
      <alignment horizontal="justify" vertical="center" wrapText="1"/>
    </xf>
    <xf numFmtId="165" fontId="8" fillId="6" borderId="0" xfId="0" applyNumberFormat="1" applyFont="1" applyFill="1" applyAlignment="1">
      <alignment horizontal="center" vertical="center"/>
    </xf>
    <xf numFmtId="166" fontId="8" fillId="6" borderId="0" xfId="0" applyNumberFormat="1" applyFont="1" applyFill="1" applyAlignment="1">
      <alignment horizontal="center"/>
    </xf>
    <xf numFmtId="165" fontId="8" fillId="0" borderId="0" xfId="0" applyNumberFormat="1" applyFont="1"/>
    <xf numFmtId="0" fontId="14" fillId="7" borderId="1" xfId="0" applyFont="1" applyFill="1" applyBorder="1" applyAlignment="1">
      <alignment horizontal="center" vertical="center"/>
    </xf>
    <xf numFmtId="0" fontId="15" fillId="7" borderId="1" xfId="0" applyFont="1" applyFill="1" applyBorder="1" applyAlignment="1">
      <alignment horizontal="center" vertical="center"/>
    </xf>
    <xf numFmtId="0" fontId="14" fillId="0" borderId="0" xfId="0" applyFont="1" applyAlignment="1">
      <alignment horizontal="left" vertical="center" wrapText="1"/>
    </xf>
    <xf numFmtId="166" fontId="14" fillId="0" borderId="0" xfId="0" applyNumberFormat="1" applyFont="1" applyAlignment="1">
      <alignment horizontal="center" vertical="center"/>
    </xf>
    <xf numFmtId="0" fontId="14" fillId="0" borderId="0" xfId="0" applyFont="1" applyAlignment="1">
      <alignment vertical="center"/>
    </xf>
    <xf numFmtId="0" fontId="16" fillId="0" borderId="0" xfId="0" applyFont="1"/>
    <xf numFmtId="0" fontId="17" fillId="0" borderId="0" xfId="0" applyFont="1"/>
    <xf numFmtId="0" fontId="16" fillId="6" borderId="1" xfId="0" applyFont="1" applyFill="1" applyBorder="1" applyAlignment="1">
      <alignment vertical="center" wrapText="1"/>
    </xf>
    <xf numFmtId="0" fontId="16" fillId="6" borderId="1" xfId="0" applyFont="1" applyFill="1" applyBorder="1" applyAlignment="1">
      <alignment horizontal="center" vertical="center" wrapText="1"/>
    </xf>
    <xf numFmtId="0" fontId="17" fillId="0" borderId="0" xfId="0" applyFont="1" applyAlignment="1">
      <alignment horizontal="center" vertical="center" wrapText="1"/>
    </xf>
    <xf numFmtId="3" fontId="17" fillId="0" borderId="0" xfId="0" applyNumberFormat="1" applyFont="1" applyAlignment="1">
      <alignment horizontal="center" vertical="center" wrapText="1"/>
    </xf>
    <xf numFmtId="9" fontId="17" fillId="0" borderId="0" xfId="0" applyNumberFormat="1" applyFont="1" applyAlignment="1">
      <alignment horizontal="center" vertical="center" wrapText="1"/>
    </xf>
    <xf numFmtId="0" fontId="16" fillId="0" borderId="0" xfId="0" applyFont="1" applyAlignment="1">
      <alignment horizontal="center" vertical="center" wrapText="1"/>
    </xf>
    <xf numFmtId="3" fontId="16" fillId="0" borderId="0" xfId="0" applyNumberFormat="1" applyFont="1" applyAlignment="1">
      <alignment horizontal="center" vertical="center" wrapText="1"/>
    </xf>
    <xf numFmtId="9" fontId="16" fillId="0" borderId="0" xfId="0" applyNumberFormat="1" applyFont="1" applyAlignment="1">
      <alignment horizontal="center" vertical="center" wrapText="1"/>
    </xf>
    <xf numFmtId="0" fontId="18" fillId="0" borderId="0" xfId="0" applyFont="1" applyAlignment="1">
      <alignment horizontal="center" vertical="center" wrapText="1"/>
    </xf>
    <xf numFmtId="3" fontId="18" fillId="0" borderId="0" xfId="0" applyNumberFormat="1" applyFont="1" applyAlignment="1">
      <alignment horizontal="center" vertical="center" wrapText="1"/>
    </xf>
    <xf numFmtId="9" fontId="18" fillId="0" borderId="0" xfId="0" applyNumberFormat="1" applyFont="1" applyAlignment="1">
      <alignment horizontal="center" vertical="center" wrapText="1"/>
    </xf>
    <xf numFmtId="0" fontId="18" fillId="0" borderId="0" xfId="0" applyFont="1" applyAlignment="1">
      <alignment vertical="center" wrapText="1"/>
    </xf>
    <xf numFmtId="0" fontId="19" fillId="0" borderId="7" xfId="0" applyFont="1" applyBorder="1" applyAlignment="1">
      <alignment horizontal="center" vertical="center"/>
    </xf>
    <xf numFmtId="0" fontId="19" fillId="0" borderId="0" xfId="0" applyFont="1" applyAlignment="1">
      <alignment horizontal="center" vertical="center"/>
    </xf>
    <xf numFmtId="0" fontId="19" fillId="0" borderId="8" xfId="0" applyFont="1" applyBorder="1" applyAlignment="1">
      <alignment horizontal="center" vertical="center"/>
    </xf>
    <xf numFmtId="3" fontId="20" fillId="0" borderId="7" xfId="0" applyNumberFormat="1" applyFont="1" applyBorder="1" applyAlignment="1">
      <alignment horizontal="center" vertical="center"/>
    </xf>
    <xf numFmtId="8" fontId="20" fillId="0" borderId="0" xfId="0" applyNumberFormat="1" applyFont="1" applyAlignment="1">
      <alignment horizontal="center" vertical="center"/>
    </xf>
    <xf numFmtId="6" fontId="20" fillId="0" borderId="8" xfId="0" applyNumberFormat="1" applyFont="1" applyBorder="1" applyAlignment="1">
      <alignment horizontal="center" vertical="center"/>
    </xf>
    <xf numFmtId="6" fontId="19" fillId="0" borderId="6" xfId="0" applyNumberFormat="1" applyFont="1" applyBorder="1" applyAlignment="1">
      <alignment horizontal="center" vertical="center"/>
    </xf>
    <xf numFmtId="3" fontId="16" fillId="0" borderId="0" xfId="0" applyNumberFormat="1" applyFont="1"/>
    <xf numFmtId="9" fontId="16" fillId="0" borderId="0" xfId="3" applyFont="1"/>
    <xf numFmtId="2" fontId="5" fillId="0" borderId="0" xfId="1" applyNumberFormat="1" applyFont="1" applyFill="1" applyBorder="1" applyAlignment="1">
      <alignment horizontal="right" vertical="center"/>
    </xf>
    <xf numFmtId="167" fontId="5" fillId="0" borderId="0" xfId="0" applyNumberFormat="1" applyFont="1" applyAlignment="1">
      <alignment horizontal="right" vertical="center"/>
    </xf>
    <xf numFmtId="0" fontId="4" fillId="6" borderId="1" xfId="0" applyFont="1" applyFill="1" applyBorder="1" applyAlignment="1">
      <alignment vertical="center"/>
    </xf>
    <xf numFmtId="0" fontId="4" fillId="6" borderId="1" xfId="0" applyFont="1" applyFill="1" applyBorder="1" applyAlignment="1">
      <alignment horizontal="center" vertical="center"/>
    </xf>
    <xf numFmtId="164" fontId="4" fillId="6" borderId="1" xfId="0" applyNumberFormat="1" applyFont="1" applyFill="1" applyBorder="1" applyAlignment="1">
      <alignment vertical="center"/>
    </xf>
    <xf numFmtId="165" fontId="4" fillId="6" borderId="1" xfId="0" applyNumberFormat="1" applyFont="1" applyFill="1" applyBorder="1" applyAlignment="1">
      <alignment vertical="center"/>
    </xf>
    <xf numFmtId="166" fontId="4" fillId="6" borderId="1" xfId="0" applyNumberFormat="1" applyFont="1" applyFill="1" applyBorder="1" applyAlignment="1">
      <alignment vertical="center"/>
    </xf>
    <xf numFmtId="166" fontId="4" fillId="6" borderId="1" xfId="0" applyNumberFormat="1" applyFont="1" applyFill="1" applyBorder="1" applyAlignment="1">
      <alignment horizontal="left" vertical="center"/>
    </xf>
    <xf numFmtId="9" fontId="4" fillId="6" borderId="1" xfId="0" applyNumberFormat="1" applyFont="1" applyFill="1" applyBorder="1" applyAlignment="1">
      <alignment horizontal="left" vertical="center"/>
    </xf>
    <xf numFmtId="3" fontId="4" fillId="6" borderId="1" xfId="0" applyNumberFormat="1" applyFont="1" applyFill="1" applyBorder="1" applyAlignment="1">
      <alignment vertical="center"/>
    </xf>
    <xf numFmtId="3" fontId="4" fillId="6" borderId="1" xfId="1" applyNumberFormat="1" applyFont="1" applyFill="1" applyBorder="1" applyAlignment="1">
      <alignment vertical="center"/>
    </xf>
    <xf numFmtId="0" fontId="4" fillId="6" borderId="1" xfId="0" applyFont="1" applyFill="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1" fontId="5" fillId="0" borderId="1" xfId="0" applyNumberFormat="1" applyFont="1" applyBorder="1" applyAlignment="1">
      <alignment horizontal="left" vertical="center"/>
    </xf>
    <xf numFmtId="164" fontId="5" fillId="0" borderId="1" xfId="0" applyNumberFormat="1" applyFont="1" applyBorder="1" applyAlignment="1">
      <alignment horizontal="right" vertical="center"/>
    </xf>
    <xf numFmtId="165" fontId="5" fillId="0" borderId="1" xfId="0" applyNumberFormat="1" applyFont="1" applyBorder="1" applyAlignment="1">
      <alignment horizontal="right" vertical="center"/>
    </xf>
    <xf numFmtId="166" fontId="5" fillId="0" borderId="1" xfId="0" applyNumberFormat="1" applyFont="1" applyBorder="1" applyAlignment="1">
      <alignment horizontal="right" vertical="center"/>
    </xf>
    <xf numFmtId="166" fontId="5" fillId="0" borderId="1" xfId="0" applyNumberFormat="1" applyFont="1" applyBorder="1" applyAlignment="1">
      <alignment horizontal="left" vertical="center"/>
    </xf>
    <xf numFmtId="9" fontId="5" fillId="0" borderId="1" xfId="0" applyNumberFormat="1" applyFont="1" applyBorder="1" applyAlignment="1">
      <alignment horizontal="left" vertical="center"/>
    </xf>
    <xf numFmtId="3" fontId="5" fillId="0" borderId="1" xfId="0" applyNumberFormat="1" applyFont="1" applyBorder="1" applyAlignment="1">
      <alignment horizontal="right" vertical="center"/>
    </xf>
    <xf numFmtId="0" fontId="5" fillId="0" borderId="1" xfId="0" applyFont="1" applyBorder="1" applyAlignment="1">
      <alignment horizontal="right" vertical="center"/>
    </xf>
    <xf numFmtId="3" fontId="5" fillId="0" borderId="1" xfId="1" applyNumberFormat="1" applyFont="1" applyFill="1" applyBorder="1" applyAlignment="1">
      <alignment horizontal="right" vertical="center"/>
    </xf>
    <xf numFmtId="2" fontId="5" fillId="0" borderId="1" xfId="1" applyNumberFormat="1" applyFont="1" applyFill="1" applyBorder="1" applyAlignment="1">
      <alignment horizontal="right" vertical="center"/>
    </xf>
    <xf numFmtId="167" fontId="5" fillId="0" borderId="1" xfId="0" applyNumberFormat="1" applyFont="1" applyBorder="1" applyAlignment="1">
      <alignment horizontal="right" vertical="center"/>
    </xf>
    <xf numFmtId="0" fontId="21" fillId="0" borderId="0" xfId="0" applyFont="1" applyAlignment="1">
      <alignment vertical="center"/>
    </xf>
    <xf numFmtId="169" fontId="6" fillId="0" borderId="1" xfId="1" applyNumberFormat="1" applyFont="1" applyFill="1" applyBorder="1" applyAlignment="1">
      <alignment horizontal="right" vertical="center"/>
    </xf>
    <xf numFmtId="172" fontId="6" fillId="0" borderId="1" xfId="0" applyNumberFormat="1" applyFont="1" applyBorder="1" applyAlignment="1">
      <alignment horizontal="left" vertical="center"/>
    </xf>
    <xf numFmtId="169" fontId="6" fillId="0" borderId="0" xfId="1" applyNumberFormat="1" applyFont="1" applyFill="1" applyBorder="1" applyAlignment="1">
      <alignment horizontal="right" vertical="center"/>
    </xf>
    <xf numFmtId="172" fontId="6" fillId="0" borderId="0" xfId="0" applyNumberFormat="1" applyFont="1" applyAlignment="1">
      <alignment horizontal="left" vertical="center"/>
    </xf>
    <xf numFmtId="169" fontId="5" fillId="0" borderId="0" xfId="1" applyNumberFormat="1" applyFont="1" applyFill="1" applyBorder="1" applyAlignment="1">
      <alignment horizontal="right" vertical="center"/>
    </xf>
    <xf numFmtId="172" fontId="5" fillId="0" borderId="0" xfId="0" applyNumberFormat="1" applyFont="1" applyAlignment="1">
      <alignment horizontal="left" vertical="center"/>
    </xf>
    <xf numFmtId="1" fontId="5" fillId="0" borderId="0" xfId="0" applyNumberFormat="1" applyFont="1" applyAlignment="1">
      <alignment horizontal="left" vertical="center"/>
    </xf>
    <xf numFmtId="0" fontId="5" fillId="9" borderId="0" xfId="0" applyFont="1" applyFill="1" applyAlignment="1">
      <alignment horizontal="right" vertical="center"/>
    </xf>
    <xf numFmtId="0" fontId="5" fillId="9" borderId="0" xfId="0" applyFont="1" applyFill="1" applyAlignment="1">
      <alignment horizontal="left" vertical="center"/>
    </xf>
    <xf numFmtId="166" fontId="5" fillId="9" borderId="0" xfId="0" applyNumberFormat="1" applyFont="1" applyFill="1" applyAlignment="1">
      <alignment horizontal="left" vertical="center"/>
    </xf>
    <xf numFmtId="166" fontId="5" fillId="9" borderId="0" xfId="0" applyNumberFormat="1" applyFont="1" applyFill="1" applyAlignment="1">
      <alignment horizontal="right" vertical="center"/>
    </xf>
    <xf numFmtId="2" fontId="5" fillId="9" borderId="0" xfId="1" applyNumberFormat="1" applyFont="1" applyFill="1" applyBorder="1" applyAlignment="1">
      <alignment horizontal="right" vertical="center"/>
    </xf>
    <xf numFmtId="3" fontId="5" fillId="9" borderId="0" xfId="1" applyNumberFormat="1" applyFont="1" applyFill="1" applyBorder="1" applyAlignment="1">
      <alignment horizontal="right" vertical="center"/>
    </xf>
    <xf numFmtId="169" fontId="5" fillId="9" borderId="0" xfId="1" applyNumberFormat="1" applyFont="1" applyFill="1" applyBorder="1" applyAlignment="1">
      <alignment horizontal="right" vertical="center"/>
    </xf>
    <xf numFmtId="3" fontId="5" fillId="9" borderId="0" xfId="0" applyNumberFormat="1" applyFont="1" applyFill="1" applyAlignment="1">
      <alignment horizontal="right" vertical="center"/>
    </xf>
    <xf numFmtId="164" fontId="5" fillId="9" borderId="0" xfId="0" applyNumberFormat="1" applyFont="1" applyFill="1" applyAlignment="1">
      <alignment horizontal="right" vertical="center"/>
    </xf>
    <xf numFmtId="0" fontId="5" fillId="9" borderId="0" xfId="0" applyFont="1" applyFill="1" applyAlignment="1">
      <alignment horizontal="center" vertical="center"/>
    </xf>
    <xf numFmtId="169" fontId="4" fillId="0" borderId="0" xfId="1" applyNumberFormat="1" applyFont="1" applyFill="1" applyBorder="1" applyAlignment="1">
      <alignment horizontal="right" vertical="center"/>
    </xf>
    <xf numFmtId="0" fontId="4" fillId="10" borderId="1" xfId="0" applyFont="1" applyFill="1" applyBorder="1" applyAlignment="1">
      <alignment vertical="center"/>
    </xf>
    <xf numFmtId="0" fontId="4" fillId="10" borderId="1" xfId="0" applyFont="1" applyFill="1" applyBorder="1" applyAlignment="1">
      <alignment horizontal="left" vertical="center"/>
    </xf>
    <xf numFmtId="166" fontId="4" fillId="10" borderId="1" xfId="0" applyNumberFormat="1" applyFont="1" applyFill="1" applyBorder="1" applyAlignment="1">
      <alignment horizontal="left" vertical="center"/>
    </xf>
    <xf numFmtId="166" fontId="4" fillId="10" borderId="1" xfId="0" applyNumberFormat="1" applyFont="1" applyFill="1" applyBorder="1" applyAlignment="1">
      <alignment vertical="center"/>
    </xf>
    <xf numFmtId="3" fontId="4" fillId="10" borderId="1" xfId="1" applyNumberFormat="1" applyFont="1" applyFill="1" applyBorder="1" applyAlignment="1">
      <alignment vertical="center"/>
    </xf>
    <xf numFmtId="3" fontId="4" fillId="10" borderId="1" xfId="0" applyNumberFormat="1" applyFont="1" applyFill="1" applyBorder="1" applyAlignment="1">
      <alignment vertical="center"/>
    </xf>
    <xf numFmtId="164" fontId="4" fillId="10" borderId="1" xfId="0" applyNumberFormat="1" applyFont="1" applyFill="1" applyBorder="1" applyAlignment="1">
      <alignment vertical="center"/>
    </xf>
    <xf numFmtId="166" fontId="11" fillId="0" borderId="0" xfId="0" applyNumberFormat="1" applyFont="1" applyAlignment="1">
      <alignment horizontal="left" vertical="center"/>
    </xf>
    <xf numFmtId="172" fontId="11" fillId="0" borderId="0" xfId="0" applyNumberFormat="1" applyFont="1" applyAlignment="1">
      <alignment horizontal="left" vertical="center"/>
    </xf>
    <xf numFmtId="164" fontId="11" fillId="0" borderId="0" xfId="0" applyNumberFormat="1" applyFont="1" applyAlignment="1">
      <alignment horizontal="left" vertical="center" wrapText="1"/>
    </xf>
    <xf numFmtId="0" fontId="23" fillId="0" borderId="0" xfId="0" applyFont="1"/>
    <xf numFmtId="0" fontId="23" fillId="0" borderId="0" xfId="0" applyFont="1" applyAlignment="1">
      <alignment vertical="center" wrapText="1"/>
    </xf>
    <xf numFmtId="0" fontId="23" fillId="0" borderId="0" xfId="0" applyFont="1" applyAlignment="1">
      <alignment vertical="center"/>
    </xf>
    <xf numFmtId="3" fontId="16" fillId="6" borderId="1" xfId="0" applyNumberFormat="1" applyFont="1" applyFill="1" applyBorder="1" applyAlignment="1">
      <alignment horizontal="center" vertical="center" wrapText="1"/>
    </xf>
    <xf numFmtId="6" fontId="22" fillId="0" borderId="6" xfId="0" applyNumberFormat="1" applyFont="1" applyBorder="1" applyAlignment="1">
      <alignment horizontal="center" vertical="center" wrapText="1"/>
    </xf>
    <xf numFmtId="6" fontId="0" fillId="0" borderId="8" xfId="0" applyNumberFormat="1" applyBorder="1" applyAlignment="1">
      <alignment horizontal="center" vertical="center" wrapText="1"/>
    </xf>
    <xf numFmtId="10" fontId="0" fillId="0" borderId="0" xfId="0" applyNumberFormat="1" applyAlignment="1">
      <alignment horizontal="center" vertical="center" wrapText="1"/>
    </xf>
    <xf numFmtId="6" fontId="0" fillId="0" borderId="7" xfId="0" applyNumberFormat="1" applyBorder="1" applyAlignment="1">
      <alignment horizontal="center" vertical="center" wrapText="1"/>
    </xf>
    <xf numFmtId="10" fontId="15" fillId="4" borderId="0" xfId="0" applyNumberFormat="1" applyFont="1" applyFill="1" applyAlignment="1">
      <alignment horizontal="center" vertical="center" wrapText="1"/>
    </xf>
    <xf numFmtId="10"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5" fillId="0" borderId="0" xfId="0" applyFont="1" applyAlignment="1">
      <alignment horizontal="center" vertical="center" wrapText="1"/>
    </xf>
    <xf numFmtId="6" fontId="0" fillId="0" borderId="0" xfId="0" applyNumberFormat="1" applyAlignment="1">
      <alignment horizontal="center" vertical="center" wrapText="1"/>
    </xf>
    <xf numFmtId="8" fontId="0" fillId="0" borderId="0" xfId="0" applyNumberFormat="1" applyAlignment="1">
      <alignment horizontal="center" vertical="center" wrapText="1"/>
    </xf>
    <xf numFmtId="3" fontId="0" fillId="0" borderId="0" xfId="0" applyNumberFormat="1" applyAlignment="1">
      <alignment horizontal="center" vertical="center" wrapText="1"/>
    </xf>
    <xf numFmtId="0" fontId="15" fillId="4" borderId="1" xfId="0" applyFont="1" applyFill="1" applyBorder="1" applyAlignment="1">
      <alignment horizontal="center" vertical="center" wrapText="1"/>
    </xf>
    <xf numFmtId="0" fontId="14" fillId="6" borderId="1" xfId="0" applyFont="1" applyFill="1" applyBorder="1" applyAlignment="1">
      <alignment horizontal="center" vertical="center"/>
    </xf>
    <xf numFmtId="0" fontId="7" fillId="0" borderId="0" xfId="3" applyNumberFormat="1" applyFont="1" applyBorder="1" applyAlignment="1">
      <alignment horizontal="center" vertical="center" wrapText="1"/>
    </xf>
    <xf numFmtId="169" fontId="7" fillId="0" borderId="0" xfId="3" applyNumberFormat="1" applyFont="1" applyBorder="1" applyAlignment="1">
      <alignment horizontal="center" vertical="center" wrapText="1"/>
    </xf>
    <xf numFmtId="166" fontId="7" fillId="0" borderId="0" xfId="3" applyNumberFormat="1" applyFont="1" applyBorder="1" applyAlignment="1">
      <alignment horizontal="center" vertical="center" wrapText="1"/>
    </xf>
    <xf numFmtId="3" fontId="7" fillId="0" borderId="0" xfId="0" applyNumberFormat="1" applyFont="1" applyAlignment="1">
      <alignment horizontal="justify" vertical="center" wrapText="1"/>
    </xf>
    <xf numFmtId="172" fontId="6" fillId="0" borderId="0" xfId="0" applyNumberFormat="1" applyFont="1" applyAlignment="1">
      <alignment horizontal="center" vertical="center" wrapText="1"/>
    </xf>
    <xf numFmtId="164" fontId="6" fillId="0" borderId="0" xfId="2" applyNumberFormat="1" applyFont="1" applyAlignment="1">
      <alignment horizontal="center" vertical="center" wrapText="1"/>
    </xf>
    <xf numFmtId="164" fontId="6" fillId="0" borderId="0" xfId="0" applyNumberFormat="1" applyFont="1" applyAlignment="1">
      <alignment horizontal="center" vertical="center" wrapText="1"/>
    </xf>
    <xf numFmtId="0" fontId="0" fillId="0" borderId="0" xfId="0" applyAlignment="1">
      <alignment vertical="center"/>
    </xf>
    <xf numFmtId="0" fontId="0" fillId="0" borderId="0" xfId="0" applyAlignment="1">
      <alignment horizontal="right" vertical="center"/>
    </xf>
    <xf numFmtId="0" fontId="0" fillId="0" borderId="0" xfId="0" applyAlignment="1">
      <alignment horizontal="left" vertical="center"/>
    </xf>
    <xf numFmtId="166" fontId="16" fillId="0" borderId="0" xfId="0" applyNumberFormat="1" applyFont="1"/>
    <xf numFmtId="173" fontId="15" fillId="6" borderId="0" xfId="0" applyNumberFormat="1" applyFont="1" applyFill="1"/>
    <xf numFmtId="0" fontId="15" fillId="6" borderId="0" xfId="0" applyFont="1" applyFill="1"/>
    <xf numFmtId="174" fontId="0" fillId="0" borderId="0" xfId="0" applyNumberFormat="1"/>
    <xf numFmtId="173" fontId="0" fillId="0" borderId="0" xfId="0" applyNumberFormat="1"/>
    <xf numFmtId="173" fontId="0" fillId="0" borderId="1" xfId="0" applyNumberFormat="1" applyBorder="1"/>
    <xf numFmtId="0" fontId="0" fillId="0" borderId="1" xfId="0" applyBorder="1"/>
    <xf numFmtId="9" fontId="0" fillId="0" borderId="0" xfId="3" applyFont="1"/>
    <xf numFmtId="0" fontId="24" fillId="0" borderId="0" xfId="0" applyFont="1"/>
    <xf numFmtId="175" fontId="24" fillId="0" borderId="0" xfId="0" applyNumberFormat="1" applyFont="1" applyAlignment="1">
      <alignment horizontal="center" vertical="center"/>
    </xf>
    <xf numFmtId="173" fontId="15" fillId="6" borderId="0" xfId="0" applyNumberFormat="1" applyFont="1" applyFill="1" applyAlignment="1">
      <alignment horizontal="center" vertical="center" wrapText="1"/>
    </xf>
    <xf numFmtId="0" fontId="15" fillId="6" borderId="0" xfId="0" applyFont="1" applyFill="1" applyAlignment="1">
      <alignment horizontal="center" vertical="center" wrapText="1"/>
    </xf>
    <xf numFmtId="6" fontId="15" fillId="4" borderId="9" xfId="0" applyNumberFormat="1" applyFont="1" applyFill="1" applyBorder="1" applyAlignment="1">
      <alignment vertical="center"/>
    </xf>
    <xf numFmtId="0" fontId="15" fillId="4" borderId="10" xfId="0" applyFont="1" applyFill="1" applyBorder="1" applyAlignment="1">
      <alignment horizontal="right" vertical="center"/>
    </xf>
    <xf numFmtId="0" fontId="15" fillId="4" borderId="10" xfId="0" applyFont="1" applyFill="1" applyBorder="1" applyAlignment="1">
      <alignment horizontal="center" vertical="center"/>
    </xf>
    <xf numFmtId="0" fontId="15" fillId="4" borderId="11" xfId="0" applyFont="1" applyFill="1" applyBorder="1" applyAlignment="1">
      <alignment horizontal="left" vertical="center"/>
    </xf>
    <xf numFmtId="175" fontId="0" fillId="0" borderId="1" xfId="0" applyNumberFormat="1" applyBorder="1" applyAlignment="1">
      <alignment horizontal="center" vertical="center"/>
    </xf>
    <xf numFmtId="0" fontId="0" fillId="0" borderId="0" xfId="0" quotePrefix="1" applyAlignment="1">
      <alignment horizontal="center" vertical="center"/>
    </xf>
    <xf numFmtId="175" fontId="0" fillId="0" borderId="0" xfId="0" applyNumberFormat="1" applyAlignment="1">
      <alignment horizontal="center" vertical="center"/>
    </xf>
    <xf numFmtId="9" fontId="0" fillId="0" borderId="0" xfId="0" applyNumberFormat="1" applyAlignment="1">
      <alignment horizontal="center" vertical="center"/>
    </xf>
    <xf numFmtId="5" fontId="0" fillId="0" borderId="8" xfId="0" applyNumberFormat="1" applyBorder="1" applyAlignment="1">
      <alignment horizontal="right" vertical="center"/>
    </xf>
    <xf numFmtId="0" fontId="0" fillId="0" borderId="7" xfId="0" applyBorder="1" applyAlignment="1">
      <alignment horizontal="left" vertical="center"/>
    </xf>
    <xf numFmtId="0" fontId="25" fillId="12" borderId="0" xfId="0" applyFont="1" applyFill="1" applyAlignment="1">
      <alignment horizontal="center" vertical="center" wrapText="1"/>
    </xf>
    <xf numFmtId="0" fontId="25" fillId="12" borderId="0" xfId="0" quotePrefix="1" applyFont="1" applyFill="1" applyAlignment="1">
      <alignment horizontal="center" vertical="center" wrapText="1"/>
    </xf>
    <xf numFmtId="173" fontId="25" fillId="12" borderId="0" xfId="0" applyNumberFormat="1" applyFont="1" applyFill="1" applyAlignment="1">
      <alignment horizontal="center" vertical="center" wrapText="1"/>
    </xf>
    <xf numFmtId="9" fontId="25" fillId="12" borderId="0" xfId="0" applyNumberFormat="1" applyFont="1" applyFill="1" applyAlignment="1">
      <alignment horizontal="center" vertical="center" wrapText="1"/>
    </xf>
    <xf numFmtId="0" fontId="25" fillId="12" borderId="0" xfId="0" applyFont="1" applyFill="1" applyAlignment="1">
      <alignment vertical="center" wrapText="1"/>
    </xf>
    <xf numFmtId="0" fontId="0" fillId="0" borderId="8" xfId="0" applyBorder="1" applyAlignment="1">
      <alignment horizontal="right" vertical="center"/>
    </xf>
    <xf numFmtId="165" fontId="0" fillId="0" borderId="1" xfId="0" applyNumberFormat="1" applyBorder="1" applyAlignment="1">
      <alignment horizontal="right" vertical="center"/>
    </xf>
    <xf numFmtId="170" fontId="0" fillId="0" borderId="0" xfId="0" applyNumberFormat="1" applyAlignment="1">
      <alignment horizontal="center" vertical="center"/>
    </xf>
    <xf numFmtId="165" fontId="0" fillId="0" borderId="0" xfId="0" applyNumberFormat="1" applyAlignment="1">
      <alignment horizontal="right" vertical="center"/>
    </xf>
    <xf numFmtId="0" fontId="15" fillId="0" borderId="7" xfId="0" applyFont="1" applyBorder="1" applyAlignment="1">
      <alignment horizontal="left" vertical="center"/>
    </xf>
    <xf numFmtId="6" fontId="0" fillId="0" borderId="8" xfId="0" applyNumberFormat="1" applyBorder="1" applyAlignment="1">
      <alignment horizontal="right" vertical="center"/>
    </xf>
    <xf numFmtId="0" fontId="25" fillId="0" borderId="6" xfId="0" applyFont="1" applyBorder="1" applyAlignment="1">
      <alignment vertical="center"/>
    </xf>
    <xf numFmtId="0" fontId="25" fillId="0" borderId="1" xfId="0" applyFont="1" applyBorder="1" applyAlignment="1">
      <alignment horizontal="right" vertical="center"/>
    </xf>
    <xf numFmtId="0" fontId="25" fillId="0" borderId="5" xfId="0" applyFont="1" applyBorder="1" applyAlignment="1">
      <alignment horizontal="left" vertical="center"/>
    </xf>
    <xf numFmtId="5" fontId="0" fillId="0" borderId="6" xfId="0" applyNumberFormat="1" applyBorder="1" applyAlignment="1">
      <alignment horizontal="right" vertical="center"/>
    </xf>
    <xf numFmtId="0" fontId="0" fillId="0" borderId="8" xfId="0" applyBorder="1" applyAlignment="1">
      <alignment vertical="center"/>
    </xf>
    <xf numFmtId="170" fontId="25" fillId="0" borderId="0" xfId="0" applyNumberFormat="1" applyFont="1" applyAlignment="1">
      <alignment horizontal="right" vertical="center"/>
    </xf>
    <xf numFmtId="0" fontId="25" fillId="0" borderId="7" xfId="0" applyFont="1" applyBorder="1" applyAlignment="1">
      <alignment horizontal="left" vertical="center"/>
    </xf>
    <xf numFmtId="173" fontId="15" fillId="4" borderId="0" xfId="0" applyNumberFormat="1" applyFont="1" applyFill="1" applyAlignment="1">
      <alignment horizontal="right" vertical="center" wrapText="1"/>
    </xf>
    <xf numFmtId="0" fontId="15" fillId="4" borderId="0" xfId="0" applyFont="1" applyFill="1" applyAlignment="1">
      <alignment horizontal="center" vertical="center" wrapText="1"/>
    </xf>
    <xf numFmtId="173" fontId="25" fillId="0" borderId="0" xfId="0" applyNumberFormat="1" applyFont="1" applyAlignment="1">
      <alignment horizontal="right" vertical="center"/>
    </xf>
    <xf numFmtId="6" fontId="0" fillId="0" borderId="6" xfId="0" applyNumberFormat="1" applyBorder="1" applyAlignment="1">
      <alignment horizontal="right" vertical="center"/>
    </xf>
    <xf numFmtId="173" fontId="25" fillId="12" borderId="1" xfId="0" applyNumberFormat="1" applyFont="1" applyFill="1" applyBorder="1" applyAlignment="1">
      <alignment horizontal="right" vertical="center" wrapText="1"/>
    </xf>
    <xf numFmtId="0" fontId="25" fillId="12" borderId="0" xfId="0" applyFont="1" applyFill="1" applyAlignment="1">
      <alignment horizontal="right" vertical="center" wrapText="1"/>
    </xf>
    <xf numFmtId="9" fontId="25" fillId="0" borderId="0" xfId="0" applyNumberFormat="1" applyFont="1" applyAlignment="1">
      <alignment horizontal="right" vertical="center"/>
    </xf>
    <xf numFmtId="173" fontId="0" fillId="0" borderId="0" xfId="0" applyNumberFormat="1" applyAlignment="1">
      <alignment horizontal="center" wrapText="1"/>
    </xf>
    <xf numFmtId="2" fontId="0" fillId="0" borderId="0" xfId="0" applyNumberFormat="1" applyAlignment="1">
      <alignment horizontal="center" wrapText="1"/>
    </xf>
    <xf numFmtId="9" fontId="0" fillId="0" borderId="0" xfId="0" applyNumberFormat="1" applyAlignment="1">
      <alignment horizontal="center" wrapText="1"/>
    </xf>
    <xf numFmtId="173" fontId="25" fillId="12" borderId="0" xfId="0" applyNumberFormat="1" applyFont="1" applyFill="1" applyAlignment="1">
      <alignment horizontal="right" vertical="center" wrapText="1"/>
    </xf>
    <xf numFmtId="0" fontId="25" fillId="0" borderId="8" xfId="0" applyFont="1" applyBorder="1" applyAlignment="1">
      <alignment vertical="center"/>
    </xf>
    <xf numFmtId="0" fontId="25" fillId="0" borderId="0" xfId="0" applyFont="1" applyAlignment="1">
      <alignment horizontal="right" vertical="center"/>
    </xf>
    <xf numFmtId="0" fontId="15" fillId="4" borderId="1" xfId="0" applyFont="1" applyFill="1" applyBorder="1" applyAlignment="1">
      <alignment horizontal="center" wrapText="1"/>
    </xf>
    <xf numFmtId="0" fontId="15" fillId="6" borderId="1" xfId="0" applyFont="1" applyFill="1" applyBorder="1" applyAlignment="1">
      <alignment horizontal="center" wrapText="1"/>
    </xf>
    <xf numFmtId="10" fontId="25" fillId="0" borderId="0" xfId="0" applyNumberFormat="1" applyFont="1" applyAlignment="1">
      <alignment horizontal="right" vertical="center"/>
    </xf>
    <xf numFmtId="0" fontId="14" fillId="0" borderId="1" xfId="0" applyFont="1" applyBorder="1" applyAlignment="1">
      <alignment horizontal="left" vertical="center"/>
    </xf>
    <xf numFmtId="0" fontId="14" fillId="0" borderId="3" xfId="0" applyFont="1" applyBorder="1" applyAlignment="1">
      <alignment horizontal="left" vertical="center"/>
    </xf>
    <xf numFmtId="0" fontId="0" fillId="0" borderId="1" xfId="0" applyBorder="1" applyAlignment="1">
      <alignment horizontal="left" vertical="center"/>
    </xf>
    <xf numFmtId="0" fontId="0" fillId="0" borderId="3" xfId="0" applyBorder="1" applyAlignment="1">
      <alignment horizontal="left" vertical="center"/>
    </xf>
    <xf numFmtId="0" fontId="15" fillId="0" borderId="0" xfId="0" applyFont="1" applyAlignment="1">
      <alignment horizontal="center" vertical="center"/>
    </xf>
    <xf numFmtId="0" fontId="15" fillId="4" borderId="1" xfId="0" applyFont="1" applyFill="1" applyBorder="1" applyAlignment="1">
      <alignment horizontal="right" vertical="center" wrapText="1"/>
    </xf>
    <xf numFmtId="0" fontId="15" fillId="4" borderId="1" xfId="0" applyFont="1" applyFill="1" applyBorder="1" applyAlignment="1">
      <alignment horizontal="left" vertical="center" wrapText="1"/>
    </xf>
    <xf numFmtId="10" fontId="15" fillId="0" borderId="0" xfId="0" applyNumberFormat="1" applyFont="1" applyAlignment="1">
      <alignment horizontal="center" vertical="center"/>
    </xf>
    <xf numFmtId="3" fontId="0" fillId="0" borderId="0" xfId="0" applyNumberFormat="1" applyAlignment="1">
      <alignment horizontal="right" vertical="center"/>
    </xf>
    <xf numFmtId="6" fontId="16" fillId="6" borderId="3" xfId="0" applyNumberFormat="1" applyFont="1" applyFill="1" applyBorder="1" applyAlignment="1">
      <alignment horizontal="right" vertical="center" wrapText="1"/>
    </xf>
    <xf numFmtId="3" fontId="16" fillId="6" borderId="3" xfId="0" applyNumberFormat="1" applyFont="1" applyFill="1" applyBorder="1" applyAlignment="1">
      <alignment horizontal="right" vertical="center" wrapText="1"/>
    </xf>
    <xf numFmtId="0" fontId="16" fillId="6" borderId="3" xfId="0" applyFont="1" applyFill="1" applyBorder="1" applyAlignment="1">
      <alignment horizontal="center" vertical="center" wrapText="1"/>
    </xf>
    <xf numFmtId="0" fontId="16" fillId="6" borderId="3" xfId="0" applyFont="1" applyFill="1" applyBorder="1" applyAlignment="1">
      <alignment horizontal="right" vertical="center" wrapText="1"/>
    </xf>
    <xf numFmtId="0" fontId="16" fillId="6" borderId="3" xfId="0" applyFont="1" applyFill="1" applyBorder="1" applyAlignment="1">
      <alignment vertical="center" wrapText="1"/>
    </xf>
    <xf numFmtId="0" fontId="18" fillId="0" borderId="0" xfId="0" applyFont="1" applyAlignment="1">
      <alignment horizontal="right" vertical="center" wrapText="1"/>
    </xf>
    <xf numFmtId="3" fontId="17" fillId="0" borderId="0" xfId="0" applyNumberFormat="1" applyFont="1" applyAlignment="1">
      <alignment horizontal="right" vertical="center" wrapText="1"/>
    </xf>
    <xf numFmtId="0" fontId="17" fillId="0" borderId="0" xfId="0" applyFont="1" applyAlignment="1">
      <alignment horizontal="right" vertical="center" wrapText="1"/>
    </xf>
    <xf numFmtId="0" fontId="17" fillId="0" borderId="0" xfId="0" applyFont="1" applyAlignment="1">
      <alignment vertical="center" wrapText="1"/>
    </xf>
    <xf numFmtId="6" fontId="18" fillId="0" borderId="0" xfId="0" applyNumberFormat="1" applyFont="1" applyAlignment="1">
      <alignment horizontal="right" vertical="center" wrapText="1"/>
    </xf>
    <xf numFmtId="5" fontId="26" fillId="0" borderId="1" xfId="0" applyNumberFormat="1" applyFont="1" applyBorder="1" applyAlignment="1">
      <alignment horizontal="right" vertical="center" wrapText="1"/>
    </xf>
    <xf numFmtId="2" fontId="18" fillId="0" borderId="0" xfId="0" applyNumberFormat="1" applyFont="1" applyAlignment="1">
      <alignment horizontal="center" vertical="center" wrapText="1"/>
    </xf>
    <xf numFmtId="6" fontId="0" fillId="0" borderId="0" xfId="0" applyNumberFormat="1"/>
    <xf numFmtId="166" fontId="17" fillId="0" borderId="0" xfId="0" applyNumberFormat="1" applyFont="1" applyAlignment="1">
      <alignment horizontal="right" vertical="center" wrapText="1"/>
    </xf>
    <xf numFmtId="3" fontId="17" fillId="0" borderId="0" xfId="0" applyNumberFormat="1" applyFont="1" applyAlignment="1">
      <alignment horizontal="center" vertical="center"/>
    </xf>
    <xf numFmtId="166" fontId="17" fillId="0" borderId="0" xfId="0" applyNumberFormat="1" applyFont="1" applyAlignment="1">
      <alignment horizontal="right" vertical="center"/>
    </xf>
    <xf numFmtId="0" fontId="16" fillId="0" borderId="0" xfId="0" applyFont="1" applyAlignment="1">
      <alignment horizontal="right" vertical="center" wrapText="1"/>
    </xf>
    <xf numFmtId="0" fontId="16" fillId="0" borderId="0" xfId="0" applyFont="1" applyAlignment="1">
      <alignment horizontal="center" vertical="center"/>
    </xf>
    <xf numFmtId="3" fontId="18" fillId="0" borderId="0" xfId="0" applyNumberFormat="1" applyFont="1" applyAlignment="1">
      <alignment horizontal="right" vertical="center" wrapText="1"/>
    </xf>
    <xf numFmtId="0" fontId="18" fillId="0" borderId="0" xfId="0" applyFont="1" applyAlignment="1">
      <alignment horizontal="right" vertical="center"/>
    </xf>
    <xf numFmtId="0" fontId="25" fillId="0" borderId="7" xfId="0" applyFont="1" applyBorder="1" applyAlignment="1">
      <alignment vertical="center"/>
    </xf>
    <xf numFmtId="0" fontId="25" fillId="0" borderId="8" xfId="0" applyFont="1" applyBorder="1" applyAlignment="1">
      <alignment horizontal="right" vertical="center"/>
    </xf>
    <xf numFmtId="6" fontId="25" fillId="0" borderId="8" xfId="0" applyNumberFormat="1" applyFont="1" applyBorder="1" applyAlignment="1">
      <alignment horizontal="right" vertical="center"/>
    </xf>
    <xf numFmtId="2" fontId="25" fillId="0" borderId="8" xfId="0" applyNumberFormat="1" applyFont="1" applyBorder="1" applyAlignment="1">
      <alignment horizontal="right" vertical="center"/>
    </xf>
    <xf numFmtId="0" fontId="15" fillId="4" borderId="6" xfId="0" applyFont="1" applyFill="1" applyBorder="1" applyAlignment="1">
      <alignment horizontal="right" vertical="center"/>
    </xf>
    <xf numFmtId="0" fontId="15" fillId="4" borderId="5" xfId="0" applyFont="1" applyFill="1" applyBorder="1" applyAlignment="1">
      <alignment vertical="center"/>
    </xf>
    <xf numFmtId="0" fontId="15" fillId="4" borderId="2" xfId="0" applyFont="1" applyFill="1" applyBorder="1" applyAlignment="1">
      <alignment vertical="center"/>
    </xf>
    <xf numFmtId="176" fontId="25" fillId="0" borderId="7" xfId="0" applyNumberFormat="1" applyFont="1" applyBorder="1" applyAlignment="1">
      <alignment horizontal="left" vertical="center"/>
    </xf>
    <xf numFmtId="6" fontId="25" fillId="0" borderId="6" xfId="0" applyNumberFormat="1" applyFont="1" applyBorder="1" applyAlignment="1">
      <alignment horizontal="right" vertical="center"/>
    </xf>
    <xf numFmtId="0" fontId="22" fillId="0" borderId="0" xfId="0" applyFont="1"/>
    <xf numFmtId="1" fontId="15" fillId="4" borderId="4" xfId="0" applyNumberFormat="1" applyFont="1" applyFill="1" applyBorder="1" applyAlignment="1">
      <alignment horizontal="right" vertical="center"/>
    </xf>
    <xf numFmtId="6" fontId="15" fillId="6" borderId="0" xfId="0" applyNumberFormat="1" applyFont="1" applyFill="1" applyAlignment="1">
      <alignment horizontal="right" vertical="center" wrapText="1"/>
    </xf>
    <xf numFmtId="177" fontId="15" fillId="6" borderId="0" xfId="0" applyNumberFormat="1" applyFont="1" applyFill="1" applyAlignment="1">
      <alignment horizontal="center" vertical="center" wrapText="1"/>
    </xf>
    <xf numFmtId="0" fontId="15" fillId="6" borderId="0" xfId="0" applyFont="1" applyFill="1" applyAlignment="1">
      <alignment vertical="center" wrapText="1"/>
    </xf>
    <xf numFmtId="0" fontId="0" fillId="0" borderId="0" xfId="0" applyAlignment="1">
      <alignment horizontal="right" vertical="center" wrapText="1"/>
    </xf>
    <xf numFmtId="6" fontId="28" fillId="0" borderId="0" xfId="0" applyNumberFormat="1" applyFont="1" applyAlignment="1">
      <alignment horizontal="center" vertical="center"/>
    </xf>
    <xf numFmtId="6" fontId="0" fillId="0" borderId="1" xfId="0" applyNumberFormat="1" applyBorder="1" applyAlignment="1">
      <alignment horizontal="right" vertical="center" wrapText="1"/>
    </xf>
    <xf numFmtId="177" fontId="0" fillId="0" borderId="1" xfId="0" applyNumberFormat="1" applyBorder="1" applyAlignment="1">
      <alignment horizontal="center" vertical="center" wrapText="1"/>
    </xf>
    <xf numFmtId="0" fontId="28" fillId="0" borderId="0" xfId="0" applyFont="1" applyAlignment="1">
      <alignment horizontal="center" vertical="center"/>
    </xf>
    <xf numFmtId="6" fontId="22" fillId="0" borderId="0" xfId="0" applyNumberFormat="1" applyFont="1" applyAlignment="1">
      <alignment horizontal="right" wrapText="1"/>
    </xf>
    <xf numFmtId="0" fontId="22" fillId="0" borderId="0" xfId="0" applyFont="1" applyAlignment="1">
      <alignment horizontal="left" wrapText="1"/>
    </xf>
    <xf numFmtId="6" fontId="0" fillId="0" borderId="0" xfId="0" applyNumberFormat="1" applyAlignment="1">
      <alignment horizontal="right" vertical="center" wrapText="1"/>
    </xf>
    <xf numFmtId="177" fontId="0" fillId="0" borderId="0" xfId="0" applyNumberFormat="1" applyAlignment="1">
      <alignment horizontal="center" vertical="center" wrapText="1"/>
    </xf>
    <xf numFmtId="0" fontId="22" fillId="0" borderId="0" xfId="0" applyFont="1" applyAlignment="1">
      <alignment horizontal="right" vertical="center" wrapText="1"/>
    </xf>
    <xf numFmtId="0" fontId="22" fillId="0" borderId="0" xfId="0" applyFont="1" applyAlignment="1">
      <alignment vertical="center" wrapText="1"/>
    </xf>
    <xf numFmtId="165" fontId="22" fillId="0" borderId="0" xfId="0" applyNumberFormat="1" applyFont="1"/>
    <xf numFmtId="0" fontId="0" fillId="0" borderId="1" xfId="0" applyBorder="1" applyAlignment="1">
      <alignment horizontal="right" vertical="center" wrapText="1"/>
    </xf>
    <xf numFmtId="0" fontId="29" fillId="0" borderId="0" xfId="0" applyFont="1" applyAlignment="1">
      <alignment horizontal="center" vertical="center"/>
    </xf>
    <xf numFmtId="178" fontId="0" fillId="0" borderId="0" xfId="0" applyNumberFormat="1" applyAlignment="1">
      <alignment vertical="center"/>
    </xf>
    <xf numFmtId="165" fontId="15" fillId="0" borderId="1" xfId="0" applyNumberFormat="1" applyFont="1" applyBorder="1" applyAlignment="1">
      <alignment vertical="center"/>
    </xf>
    <xf numFmtId="0" fontId="0" fillId="0" borderId="1" xfId="0" applyBorder="1" applyAlignment="1">
      <alignment vertical="center"/>
    </xf>
    <xf numFmtId="6" fontId="15" fillId="4" borderId="3" xfId="0" applyNumberFormat="1" applyFont="1" applyFill="1" applyBorder="1" applyAlignment="1">
      <alignment horizontal="right" vertical="center" wrapText="1"/>
    </xf>
    <xf numFmtId="0" fontId="15" fillId="4" borderId="3" xfId="0" applyFont="1" applyFill="1" applyBorder="1" applyAlignment="1">
      <alignment vertical="center" wrapText="1"/>
    </xf>
    <xf numFmtId="179" fontId="29" fillId="0" borderId="0" xfId="0" applyNumberFormat="1" applyFont="1" applyAlignment="1">
      <alignment horizontal="center" vertical="center"/>
    </xf>
    <xf numFmtId="180" fontId="0" fillId="0" borderId="0" xfId="0" applyNumberFormat="1" applyAlignment="1">
      <alignment horizontal="left" vertical="center" wrapText="1"/>
    </xf>
    <xf numFmtId="169" fontId="29" fillId="0" borderId="0" xfId="0" applyNumberFormat="1" applyFont="1" applyAlignment="1">
      <alignment horizontal="center" vertical="center"/>
    </xf>
    <xf numFmtId="9" fontId="29" fillId="0" borderId="0" xfId="0" applyNumberFormat="1" applyFont="1" applyAlignment="1">
      <alignment horizontal="center" vertical="center"/>
    </xf>
    <xf numFmtId="181" fontId="29" fillId="0" borderId="0" xfId="0" applyNumberFormat="1" applyFont="1" applyAlignment="1">
      <alignment horizontal="center" vertical="center"/>
    </xf>
    <xf numFmtId="182" fontId="29" fillId="0" borderId="0" xfId="0" applyNumberFormat="1" applyFont="1" applyAlignment="1">
      <alignment horizontal="center" vertical="center"/>
    </xf>
    <xf numFmtId="172" fontId="29" fillId="0" borderId="0" xfId="0" applyNumberFormat="1" applyFont="1" applyAlignment="1">
      <alignment horizontal="center" vertical="center"/>
    </xf>
    <xf numFmtId="6" fontId="29" fillId="0" borderId="0" xfId="0" applyNumberFormat="1" applyFont="1" applyAlignment="1">
      <alignment horizontal="center" vertical="center"/>
    </xf>
    <xf numFmtId="165" fontId="15" fillId="0" borderId="10" xfId="0" applyNumberFormat="1" applyFont="1" applyBorder="1" applyAlignment="1">
      <alignment horizontal="right" vertical="center"/>
    </xf>
    <xf numFmtId="0" fontId="0" fillId="0" borderId="10" xfId="0" applyBorder="1" applyAlignment="1">
      <alignment horizontal="left" vertical="center" wrapText="1"/>
    </xf>
    <xf numFmtId="8" fontId="29" fillId="0" borderId="0" xfId="0" applyNumberFormat="1" applyFont="1" applyAlignment="1">
      <alignment horizontal="center" vertical="center"/>
    </xf>
    <xf numFmtId="6" fontId="15" fillId="4" borderId="10" xfId="0" applyNumberFormat="1" applyFont="1" applyFill="1" applyBorder="1" applyAlignment="1">
      <alignment horizontal="right" vertical="center" wrapText="1"/>
    </xf>
    <xf numFmtId="0" fontId="15" fillId="4" borderId="10" xfId="0" applyFont="1" applyFill="1" applyBorder="1" applyAlignment="1">
      <alignment horizontal="left" vertical="center" wrapText="1"/>
    </xf>
    <xf numFmtId="180" fontId="0" fillId="0" borderId="1" xfId="0" applyNumberFormat="1" applyBorder="1" applyAlignment="1">
      <alignment horizontal="left" vertical="center" wrapText="1"/>
    </xf>
    <xf numFmtId="0" fontId="0" fillId="0" borderId="0" xfId="0" applyAlignment="1">
      <alignment horizontal="left" vertical="center" wrapText="1"/>
    </xf>
    <xf numFmtId="183" fontId="0" fillId="0" borderId="0" xfId="0" applyNumberFormat="1" applyAlignment="1">
      <alignment horizontal="left" vertical="center" wrapText="1"/>
    </xf>
    <xf numFmtId="177" fontId="0" fillId="0" borderId="0" xfId="0" applyNumberFormat="1" applyAlignment="1">
      <alignment horizontal="left" vertical="center"/>
    </xf>
    <xf numFmtId="165" fontId="0" fillId="0" borderId="0" xfId="0" applyNumberFormat="1" applyAlignment="1">
      <alignment horizontal="left" vertical="center"/>
    </xf>
    <xf numFmtId="184" fontId="0" fillId="0" borderId="0" xfId="0" applyNumberFormat="1" applyAlignment="1">
      <alignment horizontal="left" vertical="center"/>
    </xf>
    <xf numFmtId="185" fontId="0" fillId="0" borderId="0" xfId="0" applyNumberFormat="1" applyAlignment="1">
      <alignment horizontal="left" vertical="center"/>
    </xf>
    <xf numFmtId="3" fontId="0" fillId="0" borderId="0" xfId="0" applyNumberFormat="1" applyAlignment="1">
      <alignment horizontal="left" vertical="center"/>
    </xf>
    <xf numFmtId="169" fontId="0" fillId="0" borderId="0" xfId="0" applyNumberFormat="1" applyAlignment="1">
      <alignment horizontal="left" vertical="center"/>
    </xf>
    <xf numFmtId="168" fontId="0" fillId="0" borderId="0" xfId="0" applyNumberFormat="1" applyAlignment="1">
      <alignment horizontal="left" vertical="center"/>
    </xf>
    <xf numFmtId="170" fontId="0" fillId="0" borderId="0" xfId="0" applyNumberFormat="1" applyAlignment="1">
      <alignment horizontal="left" vertical="center"/>
    </xf>
    <xf numFmtId="0" fontId="30" fillId="4" borderId="0" xfId="0" applyFont="1" applyFill="1" applyAlignment="1">
      <alignment horizontal="center" vertical="center" wrapText="1"/>
    </xf>
    <xf numFmtId="0" fontId="16" fillId="0" borderId="0" xfId="0" applyFont="1" applyAlignment="1">
      <alignment horizontal="left" vertical="center"/>
    </xf>
    <xf numFmtId="166" fontId="16" fillId="0" borderId="0" xfId="0" applyNumberFormat="1" applyFont="1" applyAlignment="1">
      <alignment horizontal="center" vertical="center"/>
    </xf>
    <xf numFmtId="0" fontId="31" fillId="0" borderId="0" xfId="0" applyFont="1" applyAlignment="1">
      <alignment horizontal="center" vertical="center"/>
    </xf>
    <xf numFmtId="0" fontId="16" fillId="9" borderId="1" xfId="0" applyFont="1" applyFill="1" applyBorder="1"/>
    <xf numFmtId="186" fontId="4" fillId="0" borderId="0" xfId="1" applyNumberFormat="1" applyFont="1" applyFill="1" applyBorder="1" applyAlignment="1">
      <alignment horizontal="right" vertical="center"/>
    </xf>
    <xf numFmtId="186" fontId="5" fillId="0" borderId="0" xfId="1" applyNumberFormat="1" applyFont="1" applyFill="1" applyBorder="1" applyAlignment="1">
      <alignment horizontal="right" vertical="center"/>
    </xf>
    <xf numFmtId="186" fontId="5" fillId="0" borderId="1" xfId="1" applyNumberFormat="1" applyFont="1" applyFill="1" applyBorder="1" applyAlignment="1">
      <alignment horizontal="right" vertical="center"/>
    </xf>
    <xf numFmtId="186" fontId="6" fillId="0" borderId="0" xfId="1" applyNumberFormat="1" applyFont="1" applyFill="1" applyBorder="1" applyAlignment="1">
      <alignment horizontal="right" vertical="center"/>
    </xf>
    <xf numFmtId="186" fontId="6" fillId="0" borderId="1" xfId="1" applyNumberFormat="1" applyFont="1" applyFill="1" applyBorder="1" applyAlignment="1">
      <alignment horizontal="right" vertical="center"/>
    </xf>
    <xf numFmtId="186" fontId="6" fillId="0" borderId="0" xfId="1" applyNumberFormat="1" applyFont="1" applyAlignment="1">
      <alignment horizontal="right" vertical="center"/>
    </xf>
    <xf numFmtId="169" fontId="5" fillId="0" borderId="1" xfId="1" applyNumberFormat="1" applyFont="1" applyFill="1" applyBorder="1" applyAlignment="1">
      <alignment horizontal="right" vertical="center"/>
    </xf>
    <xf numFmtId="169" fontId="6" fillId="0" borderId="0" xfId="1" applyNumberFormat="1" applyFont="1" applyAlignment="1">
      <alignment horizontal="right" vertical="center"/>
    </xf>
    <xf numFmtId="170" fontId="4" fillId="6" borderId="1" xfId="1" applyNumberFormat="1" applyFont="1" applyFill="1" applyBorder="1" applyAlignment="1">
      <alignment vertical="center"/>
    </xf>
    <xf numFmtId="170" fontId="4" fillId="0" borderId="0" xfId="1" applyNumberFormat="1" applyFont="1" applyFill="1" applyBorder="1" applyAlignment="1">
      <alignment horizontal="right" vertical="center"/>
    </xf>
    <xf numFmtId="170" fontId="5" fillId="0" borderId="0" xfId="1" applyNumberFormat="1" applyFont="1" applyFill="1" applyBorder="1" applyAlignment="1">
      <alignment horizontal="right" vertical="center"/>
    </xf>
    <xf numFmtId="170" fontId="5" fillId="0" borderId="1" xfId="1" applyNumberFormat="1" applyFont="1" applyFill="1" applyBorder="1" applyAlignment="1">
      <alignment horizontal="right" vertical="center"/>
    </xf>
    <xf numFmtId="170" fontId="6" fillId="0" borderId="0" xfId="1" applyNumberFormat="1" applyFont="1" applyFill="1" applyBorder="1" applyAlignment="1">
      <alignment horizontal="right" vertical="center"/>
    </xf>
    <xf numFmtId="170" fontId="6" fillId="0" borderId="0" xfId="1" applyNumberFormat="1" applyFont="1" applyAlignment="1">
      <alignment horizontal="right" vertical="center"/>
    </xf>
    <xf numFmtId="170" fontId="6" fillId="0" borderId="1" xfId="1" applyNumberFormat="1" applyFont="1" applyFill="1" applyBorder="1" applyAlignment="1">
      <alignment horizontal="right" vertical="center"/>
    </xf>
    <xf numFmtId="170" fontId="11" fillId="0" borderId="0" xfId="0" applyNumberFormat="1" applyFont="1" applyAlignment="1">
      <alignment horizontal="left" vertical="center" wrapText="1"/>
    </xf>
    <xf numFmtId="170" fontId="7" fillId="0" borderId="0" xfId="0" applyNumberFormat="1" applyFont="1"/>
    <xf numFmtId="170" fontId="6" fillId="0" borderId="0" xfId="0" applyNumberFormat="1" applyFont="1" applyAlignment="1">
      <alignment vertical="center" wrapText="1"/>
    </xf>
    <xf numFmtId="170" fontId="6" fillId="0" borderId="0" xfId="0" applyNumberFormat="1" applyFont="1" applyAlignment="1">
      <alignment horizontal="center" vertical="center" wrapText="1"/>
    </xf>
    <xf numFmtId="170" fontId="7" fillId="0" borderId="0" xfId="0" applyNumberFormat="1" applyFont="1" applyAlignment="1">
      <alignment horizontal="left" vertical="center"/>
    </xf>
    <xf numFmtId="170" fontId="7" fillId="0" borderId="0" xfId="0" applyNumberFormat="1" applyFont="1" applyAlignment="1">
      <alignment horizontal="center" vertical="center"/>
    </xf>
    <xf numFmtId="186" fontId="11" fillId="0" borderId="0" xfId="0" applyNumberFormat="1" applyFont="1" applyAlignment="1">
      <alignment horizontal="left" vertical="center" wrapText="1"/>
    </xf>
    <xf numFmtId="186" fontId="7" fillId="0" borderId="0" xfId="0" applyNumberFormat="1" applyFont="1" applyAlignment="1">
      <alignment horizontal="center" vertical="center"/>
    </xf>
    <xf numFmtId="186" fontId="6" fillId="0" borderId="0" xfId="0" applyNumberFormat="1" applyFont="1" applyAlignment="1">
      <alignment vertical="center" wrapText="1"/>
    </xf>
    <xf numFmtId="186" fontId="6" fillId="0" borderId="0" xfId="0" applyNumberFormat="1" applyFont="1" applyAlignment="1">
      <alignment horizontal="center" vertical="center" wrapText="1"/>
    </xf>
    <xf numFmtId="186" fontId="7" fillId="0" borderId="0" xfId="0" applyNumberFormat="1" applyFont="1" applyAlignment="1">
      <alignment horizontal="center" vertical="center" wrapText="1"/>
    </xf>
    <xf numFmtId="186" fontId="7" fillId="0" borderId="0" xfId="0" applyNumberFormat="1" applyFont="1"/>
    <xf numFmtId="0" fontId="17" fillId="0" borderId="0" xfId="0" applyFont="1" applyAlignment="1">
      <alignment horizontal="center" vertical="center"/>
    </xf>
    <xf numFmtId="0" fontId="32" fillId="13" borderId="1" xfId="0" applyFont="1" applyFill="1" applyBorder="1" applyAlignment="1">
      <alignment vertical="center"/>
    </xf>
    <xf numFmtId="3" fontId="32" fillId="13" borderId="1" xfId="0" applyNumberFormat="1" applyFont="1" applyFill="1" applyBorder="1" applyAlignment="1">
      <alignment vertical="center"/>
    </xf>
    <xf numFmtId="0" fontId="33" fillId="0" borderId="0" xfId="0" applyFont="1" applyAlignment="1">
      <alignment vertical="center"/>
    </xf>
    <xf numFmtId="3" fontId="33" fillId="0" borderId="0" xfId="0" applyNumberFormat="1" applyFont="1" applyAlignment="1">
      <alignment vertical="center"/>
    </xf>
    <xf numFmtId="165" fontId="33" fillId="0" borderId="0" xfId="0" applyNumberFormat="1" applyFont="1" applyAlignment="1">
      <alignment vertical="center"/>
    </xf>
    <xf numFmtId="0" fontId="33" fillId="0" borderId="1" xfId="0" applyFont="1" applyBorder="1" applyAlignment="1">
      <alignment vertical="center"/>
    </xf>
    <xf numFmtId="165" fontId="33" fillId="0" borderId="1" xfId="0" applyNumberFormat="1" applyFont="1" applyBorder="1" applyAlignment="1">
      <alignment vertical="center"/>
    </xf>
    <xf numFmtId="0" fontId="33" fillId="0" borderId="10" xfId="0" applyFont="1" applyBorder="1" applyAlignment="1">
      <alignment vertical="center"/>
    </xf>
    <xf numFmtId="9" fontId="33" fillId="0" borderId="10" xfId="0" applyNumberFormat="1" applyFont="1" applyBorder="1" applyAlignment="1">
      <alignment vertical="center"/>
    </xf>
    <xf numFmtId="165" fontId="33" fillId="0" borderId="10" xfId="0" applyNumberFormat="1" applyFont="1" applyBorder="1" applyAlignment="1">
      <alignment vertical="center"/>
    </xf>
    <xf numFmtId="170" fontId="4" fillId="10" borderId="1" xfId="0" applyNumberFormat="1" applyFont="1" applyFill="1" applyBorder="1" applyAlignment="1">
      <alignment vertical="center"/>
    </xf>
    <xf numFmtId="170" fontId="4" fillId="0" borderId="0" xfId="0" applyNumberFormat="1" applyFont="1" applyAlignment="1">
      <alignment horizontal="right" vertical="center"/>
    </xf>
    <xf numFmtId="170" fontId="5" fillId="9" borderId="0" xfId="0" applyNumberFormat="1" applyFont="1" applyFill="1" applyAlignment="1">
      <alignment horizontal="right" vertical="center"/>
    </xf>
    <xf numFmtId="170" fontId="5" fillId="0" borderId="0" xfId="0" applyNumberFormat="1" applyFont="1" applyAlignment="1">
      <alignment horizontal="right" vertical="center"/>
    </xf>
    <xf numFmtId="170" fontId="6" fillId="0" borderId="0" xfId="0" applyNumberFormat="1" applyFont="1" applyAlignment="1">
      <alignment horizontal="right" vertical="center"/>
    </xf>
    <xf numFmtId="170" fontId="6" fillId="0" borderId="1" xfId="0" applyNumberFormat="1" applyFont="1" applyBorder="1" applyAlignment="1">
      <alignment horizontal="right" vertical="center"/>
    </xf>
    <xf numFmtId="186" fontId="4" fillId="10" borderId="1" xfId="1" applyNumberFormat="1" applyFont="1" applyFill="1" applyBorder="1" applyAlignment="1">
      <alignment vertical="center"/>
    </xf>
    <xf numFmtId="186" fontId="5" fillId="9" borderId="0" xfId="1" applyNumberFormat="1" applyFont="1" applyFill="1" applyBorder="1" applyAlignment="1">
      <alignment horizontal="right" vertical="center"/>
    </xf>
    <xf numFmtId="0" fontId="34" fillId="0" borderId="0" xfId="0" applyFont="1" applyAlignment="1">
      <alignment horizontal="center" vertical="center"/>
    </xf>
    <xf numFmtId="0" fontId="34" fillId="0" borderId="0" xfId="0" applyFont="1" applyAlignment="1">
      <alignment horizontal="left" vertical="center"/>
    </xf>
    <xf numFmtId="0" fontId="34" fillId="0" borderId="0" xfId="0" applyFont="1" applyAlignment="1">
      <alignment horizontal="right" vertical="center"/>
    </xf>
    <xf numFmtId="164" fontId="34" fillId="0" borderId="0" xfId="0" applyNumberFormat="1" applyFont="1" applyAlignment="1">
      <alignment horizontal="right" vertical="center"/>
    </xf>
    <xf numFmtId="166" fontId="34" fillId="0" borderId="0" xfId="0" applyNumberFormat="1" applyFont="1" applyAlignment="1">
      <alignment horizontal="left" vertical="center"/>
    </xf>
    <xf numFmtId="3" fontId="34" fillId="0" borderId="0" xfId="0" applyNumberFormat="1" applyFont="1" applyAlignment="1">
      <alignment horizontal="right" vertical="center"/>
    </xf>
    <xf numFmtId="170" fontId="34" fillId="0" borderId="0" xfId="0" applyNumberFormat="1" applyFont="1" applyAlignment="1">
      <alignment horizontal="right" vertical="center"/>
    </xf>
    <xf numFmtId="3" fontId="34" fillId="0" borderId="0" xfId="1" applyNumberFormat="1" applyFont="1" applyAlignment="1">
      <alignment horizontal="right" vertical="center"/>
    </xf>
    <xf numFmtId="169" fontId="34" fillId="0" borderId="0" xfId="1" applyNumberFormat="1" applyFont="1" applyAlignment="1">
      <alignment horizontal="right" vertical="center"/>
    </xf>
    <xf numFmtId="186" fontId="34" fillId="0" borderId="0" xfId="1" applyNumberFormat="1" applyFont="1" applyAlignment="1">
      <alignment horizontal="right" vertical="center"/>
    </xf>
    <xf numFmtId="166" fontId="34" fillId="0" borderId="0" xfId="0" applyNumberFormat="1" applyFont="1" applyAlignment="1">
      <alignment horizontal="right" vertical="center"/>
    </xf>
    <xf numFmtId="0" fontId="15" fillId="0" borderId="0" xfId="0" applyFont="1"/>
    <xf numFmtId="0" fontId="15" fillId="6" borderId="5" xfId="0" applyFont="1" applyFill="1" applyBorder="1"/>
    <xf numFmtId="8" fontId="15" fillId="6" borderId="6" xfId="0" applyNumberFormat="1" applyFont="1" applyFill="1" applyBorder="1"/>
    <xf numFmtId="186" fontId="0" fillId="0" borderId="0" xfId="0" applyNumberFormat="1" applyAlignment="1">
      <alignment horizontal="left" vertical="center"/>
    </xf>
    <xf numFmtId="0" fontId="14" fillId="0" borderId="0" xfId="0" applyFont="1" applyAlignment="1">
      <alignment horizontal="left" vertical="center"/>
    </xf>
    <xf numFmtId="0" fontId="4" fillId="6" borderId="1" xfId="0" applyFont="1" applyFill="1" applyBorder="1" applyAlignment="1">
      <alignment horizontal="right" vertical="center"/>
    </xf>
    <xf numFmtId="0" fontId="15" fillId="0" borderId="0" xfId="0" applyFont="1" applyAlignment="1">
      <alignment horizontal="left" vertical="center"/>
    </xf>
    <xf numFmtId="0" fontId="15" fillId="0" borderId="0" xfId="0" applyFont="1" applyAlignment="1">
      <alignment horizontal="right" vertical="center"/>
    </xf>
    <xf numFmtId="170" fontId="11" fillId="0" borderId="0" xfId="3" applyNumberFormat="1" applyFont="1" applyAlignment="1">
      <alignment horizontal="left" vertical="center" wrapText="1"/>
    </xf>
    <xf numFmtId="170" fontId="7" fillId="0" borderId="0" xfId="3" applyNumberFormat="1" applyFont="1" applyFill="1" applyBorder="1" applyAlignment="1">
      <alignment horizontal="center" vertical="center" wrapText="1"/>
    </xf>
    <xf numFmtId="3" fontId="14" fillId="0" borderId="0" xfId="0" applyNumberFormat="1" applyFont="1" applyAlignment="1">
      <alignment horizontal="left" vertical="center"/>
    </xf>
    <xf numFmtId="1" fontId="36" fillId="0" borderId="0" xfId="0" applyNumberFormat="1" applyFont="1" applyAlignment="1">
      <alignment horizontal="left" vertical="center"/>
    </xf>
    <xf numFmtId="170" fontId="6" fillId="5" borderId="0" xfId="1" applyNumberFormat="1" applyFont="1" applyFill="1" applyAlignment="1">
      <alignment horizontal="right" vertical="center"/>
    </xf>
    <xf numFmtId="166" fontId="7" fillId="0" borderId="0" xfId="0" applyNumberFormat="1" applyFont="1" applyAlignment="1">
      <alignment horizontal="left" vertical="center"/>
    </xf>
    <xf numFmtId="187" fontId="0" fillId="0" borderId="0" xfId="1" applyNumberFormat="1" applyFont="1" applyAlignment="1">
      <alignment horizontal="left" vertical="center"/>
    </xf>
    <xf numFmtId="3" fontId="0" fillId="0" borderId="0" xfId="1" applyNumberFormat="1" applyFont="1" applyAlignment="1">
      <alignment horizontal="left" vertical="center"/>
    </xf>
    <xf numFmtId="188" fontId="0" fillId="0" borderId="0" xfId="0" applyNumberFormat="1" applyAlignment="1">
      <alignment horizontal="left" vertical="center"/>
    </xf>
    <xf numFmtId="0" fontId="6" fillId="4" borderId="0" xfId="0" applyFont="1" applyFill="1" applyAlignment="1">
      <alignment horizontal="center" vertical="center" wrapText="1"/>
    </xf>
    <xf numFmtId="166" fontId="6" fillId="0" borderId="0" xfId="0" applyNumberFormat="1" applyFont="1" applyAlignment="1">
      <alignment horizontal="center" vertical="center"/>
    </xf>
    <xf numFmtId="170" fontId="6" fillId="0" borderId="0" xfId="3" applyNumberFormat="1" applyFont="1" applyBorder="1" applyAlignment="1">
      <alignment horizontal="center" vertical="center" wrapText="1"/>
    </xf>
    <xf numFmtId="170" fontId="6" fillId="0" borderId="0" xfId="0" applyNumberFormat="1" applyFont="1" applyAlignment="1">
      <alignment horizontal="center"/>
    </xf>
    <xf numFmtId="0" fontId="6" fillId="0" borderId="0" xfId="0" applyFont="1"/>
    <xf numFmtId="0" fontId="15" fillId="6" borderId="1" xfId="0" applyFont="1" applyFill="1" applyBorder="1" applyAlignment="1">
      <alignment horizontal="center" vertical="center"/>
    </xf>
    <xf numFmtId="169" fontId="7" fillId="0" borderId="0" xfId="3" applyNumberFormat="1" applyFont="1" applyFill="1" applyBorder="1" applyAlignment="1">
      <alignment horizontal="center" vertical="center" wrapText="1"/>
    </xf>
    <xf numFmtId="0" fontId="8" fillId="0" borderId="0" xfId="0" applyFont="1" applyAlignment="1">
      <alignment vertical="center"/>
    </xf>
    <xf numFmtId="0" fontId="7" fillId="0" borderId="0" xfId="0" applyFont="1" applyAlignment="1">
      <alignment vertical="center"/>
    </xf>
    <xf numFmtId="0" fontId="2" fillId="0" borderId="0" xfId="4" applyFill="1" applyAlignment="1">
      <alignment vertical="center"/>
    </xf>
    <xf numFmtId="0" fontId="12" fillId="0" borderId="0" xfId="0" applyFont="1" applyAlignment="1">
      <alignment vertical="center"/>
    </xf>
    <xf numFmtId="0" fontId="3" fillId="0" borderId="0" xfId="5" applyFill="1" applyAlignment="1">
      <alignment vertical="center"/>
    </xf>
    <xf numFmtId="165" fontId="7" fillId="0" borderId="0" xfId="0" applyNumberFormat="1" applyFont="1" applyAlignment="1">
      <alignment vertical="center"/>
    </xf>
    <xf numFmtId="170" fontId="7" fillId="0" borderId="0" xfId="3" applyNumberFormat="1" applyFont="1" applyAlignment="1">
      <alignment vertical="center"/>
    </xf>
    <xf numFmtId="166" fontId="8" fillId="6" borderId="0" xfId="0" applyNumberFormat="1" applyFont="1" applyFill="1" applyAlignment="1">
      <alignment horizontal="center" vertical="center"/>
    </xf>
    <xf numFmtId="165" fontId="8" fillId="0" borderId="0" xfId="0" applyNumberFormat="1" applyFont="1" applyAlignment="1">
      <alignment vertical="center"/>
    </xf>
    <xf numFmtId="0" fontId="22" fillId="0" borderId="7" xfId="0" applyFont="1" applyBorder="1" applyAlignment="1">
      <alignment horizontal="center" vertical="center" wrapText="1"/>
    </xf>
    <xf numFmtId="0" fontId="22" fillId="0" borderId="0" xfId="0" applyFont="1" applyAlignment="1">
      <alignment horizontal="center" vertical="center" wrapText="1"/>
    </xf>
    <xf numFmtId="0" fontId="22" fillId="0" borderId="8" xfId="0" applyFont="1" applyBorder="1" applyAlignment="1">
      <alignment horizontal="center" vertical="center" wrapText="1"/>
    </xf>
    <xf numFmtId="0" fontId="38" fillId="0" borderId="0" xfId="6" applyFont="1" applyAlignment="1">
      <alignment horizontal="left" vertical="center"/>
    </xf>
    <xf numFmtId="0" fontId="11" fillId="0" borderId="0" xfId="0" applyFont="1" applyAlignment="1">
      <alignment horizontal="left" vertical="center" wrapText="1"/>
    </xf>
    <xf numFmtId="0" fontId="9" fillId="0" borderId="0" xfId="0" applyFont="1" applyAlignment="1">
      <alignment horizontal="center" vertical="center" wrapText="1"/>
    </xf>
    <xf numFmtId="0" fontId="9" fillId="4" borderId="0" xfId="0" applyFont="1" applyFill="1" applyAlignment="1">
      <alignment vertical="center" wrapText="1"/>
    </xf>
    <xf numFmtId="0" fontId="19" fillId="0" borderId="5" xfId="0" applyFont="1" applyBorder="1" applyAlignment="1">
      <alignment horizontal="center" vertical="center"/>
    </xf>
    <xf numFmtId="0" fontId="19" fillId="0" borderId="1" xfId="0" applyFont="1" applyBorder="1" applyAlignment="1">
      <alignment horizontal="center" vertical="center"/>
    </xf>
    <xf numFmtId="0" fontId="7" fillId="0" borderId="0" xfId="0" applyFont="1" applyAlignment="1">
      <alignment vertical="center" wrapText="1"/>
    </xf>
    <xf numFmtId="0" fontId="7" fillId="0" borderId="0" xfId="0" applyFont="1" applyAlignment="1">
      <alignment horizontal="justify" vertical="center" wrapText="1"/>
    </xf>
    <xf numFmtId="0" fontId="19" fillId="8" borderId="2" xfId="0" applyFont="1" applyFill="1" applyBorder="1" applyAlignment="1">
      <alignment horizontal="center" vertical="center"/>
    </xf>
    <xf numFmtId="0" fontId="19" fillId="8" borderId="3" xfId="0" applyFont="1" applyFill="1" applyBorder="1" applyAlignment="1">
      <alignment horizontal="center" vertical="center"/>
    </xf>
    <xf numFmtId="0" fontId="19" fillId="8" borderId="4" xfId="0" applyFont="1" applyFill="1" applyBorder="1" applyAlignment="1">
      <alignment horizontal="center" vertical="center"/>
    </xf>
    <xf numFmtId="0" fontId="19" fillId="8" borderId="5" xfId="0" applyFont="1" applyFill="1" applyBorder="1" applyAlignment="1">
      <alignment horizontal="center" vertical="center"/>
    </xf>
    <xf numFmtId="0" fontId="19" fillId="8" borderId="1" xfId="0" applyFont="1" applyFill="1" applyBorder="1" applyAlignment="1">
      <alignment horizontal="center" vertical="center"/>
    </xf>
    <xf numFmtId="0" fontId="19" fillId="8" borderId="6" xfId="0" applyFont="1" applyFill="1" applyBorder="1" applyAlignment="1">
      <alignment horizontal="center" vertical="center"/>
    </xf>
    <xf numFmtId="0" fontId="15" fillId="4" borderId="0" xfId="0" applyFont="1" applyFill="1" applyAlignment="1">
      <alignment vertical="center" wrapText="1"/>
    </xf>
    <xf numFmtId="0" fontId="22" fillId="11" borderId="2" xfId="0" applyFont="1" applyFill="1" applyBorder="1" applyAlignment="1">
      <alignment horizontal="center" vertical="center" wrapText="1"/>
    </xf>
    <xf numFmtId="0" fontId="22" fillId="11" borderId="3" xfId="0" applyFont="1" applyFill="1" applyBorder="1" applyAlignment="1">
      <alignment horizontal="center" vertical="center" wrapText="1"/>
    </xf>
    <xf numFmtId="0" fontId="22" fillId="11" borderId="4" xfId="0" applyFont="1" applyFill="1" applyBorder="1" applyAlignment="1">
      <alignment horizontal="center" vertical="center" wrapText="1"/>
    </xf>
    <xf numFmtId="0" fontId="22" fillId="11" borderId="5" xfId="0" applyFont="1" applyFill="1" applyBorder="1" applyAlignment="1">
      <alignment horizontal="center" vertical="center" wrapText="1"/>
    </xf>
    <xf numFmtId="0" fontId="22" fillId="11" borderId="1" xfId="0" applyFont="1" applyFill="1" applyBorder="1" applyAlignment="1">
      <alignment horizontal="center" vertical="center" wrapText="1"/>
    </xf>
    <xf numFmtId="0" fontId="22" fillId="11" borderId="6" xfId="0" applyFont="1" applyFill="1" applyBorder="1" applyAlignment="1">
      <alignment horizontal="center" vertical="center" wrapText="1"/>
    </xf>
    <xf numFmtId="0" fontId="22" fillId="0" borderId="5" xfId="0" applyFont="1" applyBorder="1" applyAlignment="1">
      <alignment horizontal="center" vertical="center" wrapText="1"/>
    </xf>
    <xf numFmtId="0" fontId="22" fillId="0" borderId="1" xfId="0" applyFont="1" applyBorder="1" applyAlignment="1">
      <alignment horizontal="center" vertical="center" wrapText="1"/>
    </xf>
    <xf numFmtId="0" fontId="15" fillId="4" borderId="1" xfId="0" applyFont="1" applyFill="1" applyBorder="1" applyAlignment="1">
      <alignment horizontal="center" vertical="center" wrapText="1"/>
    </xf>
    <xf numFmtId="0" fontId="15" fillId="6" borderId="1" xfId="0" applyFont="1" applyFill="1" applyBorder="1" applyAlignment="1">
      <alignment horizontal="center" vertical="center"/>
    </xf>
    <xf numFmtId="0" fontId="15" fillId="4" borderId="11" xfId="0" applyFont="1" applyFill="1" applyBorder="1" applyAlignment="1">
      <alignment horizontal="center" vertical="center"/>
    </xf>
    <xf numFmtId="0" fontId="15" fillId="4" borderId="10" xfId="0" applyFont="1" applyFill="1" applyBorder="1" applyAlignment="1">
      <alignment horizontal="center" vertical="center"/>
    </xf>
    <xf numFmtId="0" fontId="15" fillId="4" borderId="9" xfId="0" applyFont="1" applyFill="1" applyBorder="1" applyAlignment="1">
      <alignment horizontal="center" vertical="center"/>
    </xf>
    <xf numFmtId="0" fontId="15" fillId="6" borderId="1" xfId="0" applyFont="1" applyFill="1" applyBorder="1" applyAlignment="1">
      <alignment horizontal="center" vertical="center" wrapText="1"/>
    </xf>
    <xf numFmtId="0" fontId="15" fillId="6" borderId="0" xfId="0" applyFont="1" applyFill="1" applyAlignment="1">
      <alignment vertical="center" wrapText="1"/>
    </xf>
    <xf numFmtId="0" fontId="14" fillId="0" borderId="3" xfId="0" applyFont="1" applyBorder="1" applyAlignment="1">
      <alignment horizontal="center" vertical="center"/>
    </xf>
    <xf numFmtId="0" fontId="14" fillId="0" borderId="1" xfId="0" applyFont="1" applyBorder="1" applyAlignment="1">
      <alignment horizontal="center" vertical="center"/>
    </xf>
    <xf numFmtId="14" fontId="14" fillId="0" borderId="3" xfId="0" applyNumberFormat="1" applyFont="1" applyBorder="1" applyAlignment="1">
      <alignment horizontal="center" vertical="center"/>
    </xf>
    <xf numFmtId="165" fontId="14" fillId="0" borderId="3" xfId="2" applyNumberFormat="1" applyFont="1" applyBorder="1" applyAlignment="1">
      <alignment horizontal="right" vertical="center"/>
    </xf>
    <xf numFmtId="165" fontId="14" fillId="0" borderId="1" xfId="2" applyNumberFormat="1" applyFont="1" applyBorder="1" applyAlignment="1">
      <alignment horizontal="right" vertical="center"/>
    </xf>
    <xf numFmtId="3" fontId="14" fillId="0" borderId="3" xfId="1" applyNumberFormat="1" applyFont="1" applyBorder="1" applyAlignment="1">
      <alignment horizontal="right" vertical="center"/>
    </xf>
    <xf numFmtId="3" fontId="14" fillId="0" borderId="1" xfId="1" applyNumberFormat="1" applyFont="1" applyBorder="1" applyAlignment="1">
      <alignment horizontal="right" vertical="center"/>
    </xf>
    <xf numFmtId="8" fontId="14" fillId="0" borderId="3" xfId="0" applyNumberFormat="1" applyFont="1" applyBorder="1" applyAlignment="1">
      <alignment horizontal="right" vertical="center"/>
    </xf>
    <xf numFmtId="8" fontId="14" fillId="0" borderId="1" xfId="0" applyNumberFormat="1" applyFont="1" applyBorder="1" applyAlignment="1">
      <alignment horizontal="right" vertical="center"/>
    </xf>
    <xf numFmtId="0" fontId="0" fillId="0" borderId="3" xfId="0" applyBorder="1" applyAlignment="1">
      <alignment horizontal="center" vertical="center"/>
    </xf>
    <xf numFmtId="0" fontId="0" fillId="0" borderId="1" xfId="0" applyBorder="1" applyAlignment="1">
      <alignment horizontal="center" vertical="center"/>
    </xf>
    <xf numFmtId="14" fontId="0" fillId="0" borderId="3" xfId="0" applyNumberFormat="1" applyBorder="1" applyAlignment="1">
      <alignment horizontal="center" vertical="center"/>
    </xf>
    <xf numFmtId="14" fontId="0" fillId="0" borderId="1" xfId="0" applyNumberFormat="1" applyBorder="1" applyAlignment="1">
      <alignment horizontal="center" vertical="center"/>
    </xf>
    <xf numFmtId="6" fontId="0" fillId="0" borderId="3" xfId="0" applyNumberFormat="1" applyBorder="1" applyAlignment="1">
      <alignment horizontal="right" vertical="center"/>
    </xf>
    <xf numFmtId="6" fontId="0" fillId="0" borderId="1" xfId="0" applyNumberFormat="1" applyBorder="1" applyAlignment="1">
      <alignment horizontal="right" vertical="center"/>
    </xf>
    <xf numFmtId="3" fontId="0" fillId="0" borderId="3" xfId="0" applyNumberFormat="1" applyBorder="1" applyAlignment="1">
      <alignment horizontal="right" vertical="center"/>
    </xf>
    <xf numFmtId="3" fontId="0" fillId="0" borderId="1" xfId="0" applyNumberFormat="1" applyBorder="1" applyAlignment="1">
      <alignment horizontal="right" vertical="center"/>
    </xf>
    <xf numFmtId="8" fontId="0" fillId="0" borderId="3" xfId="0" applyNumberFormat="1" applyBorder="1" applyAlignment="1">
      <alignment horizontal="right" vertical="center"/>
    </xf>
    <xf numFmtId="8" fontId="0" fillId="0" borderId="1" xfId="0" applyNumberFormat="1" applyBorder="1" applyAlignment="1">
      <alignment horizontal="right" vertical="center"/>
    </xf>
    <xf numFmtId="10" fontId="0" fillId="0" borderId="3" xfId="0" applyNumberFormat="1" applyBorder="1" applyAlignment="1">
      <alignment horizontal="right" vertical="center"/>
    </xf>
    <xf numFmtId="10" fontId="0" fillId="0" borderId="1" xfId="0" applyNumberFormat="1" applyBorder="1" applyAlignment="1">
      <alignment horizontal="right" vertical="center"/>
    </xf>
    <xf numFmtId="6" fontId="14" fillId="0" borderId="3" xfId="0" applyNumberFormat="1" applyFont="1" applyBorder="1" applyAlignment="1">
      <alignment horizontal="right" vertical="center"/>
    </xf>
    <xf numFmtId="6" fontId="14" fillId="0" borderId="1" xfId="0" applyNumberFormat="1" applyFont="1" applyBorder="1" applyAlignment="1">
      <alignment horizontal="right" vertical="center"/>
    </xf>
    <xf numFmtId="10" fontId="14" fillId="0" borderId="3" xfId="3" applyNumberFormat="1" applyFont="1" applyBorder="1" applyAlignment="1">
      <alignment horizontal="right" vertical="center"/>
    </xf>
    <xf numFmtId="10" fontId="14" fillId="0" borderId="1" xfId="3" applyNumberFormat="1" applyFont="1" applyBorder="1" applyAlignment="1">
      <alignment horizontal="right" vertical="center"/>
    </xf>
    <xf numFmtId="0" fontId="16" fillId="4" borderId="1" xfId="0" applyFont="1" applyFill="1" applyBorder="1" applyAlignment="1">
      <alignment horizontal="center" vertical="center" wrapText="1"/>
    </xf>
    <xf numFmtId="0" fontId="27" fillId="0" borderId="0" xfId="0" applyFont="1" applyAlignment="1">
      <alignment vertical="center" wrapText="1"/>
    </xf>
    <xf numFmtId="0" fontId="17" fillId="0" borderId="0" xfId="0" applyFont="1" applyAlignment="1">
      <alignment vertical="center" wrapText="1"/>
    </xf>
    <xf numFmtId="0" fontId="22" fillId="11" borderId="11" xfId="0" applyFont="1" applyFill="1" applyBorder="1" applyAlignment="1">
      <alignment horizontal="center" vertical="center" wrapText="1"/>
    </xf>
    <xf numFmtId="0" fontId="22" fillId="11" borderId="9" xfId="0" applyFont="1" applyFill="1" applyBorder="1" applyAlignment="1">
      <alignment horizontal="center" vertical="center" wrapText="1"/>
    </xf>
    <xf numFmtId="0" fontId="15" fillId="4" borderId="1" xfId="0" applyFont="1" applyFill="1" applyBorder="1" applyAlignment="1">
      <alignment vertical="center" wrapText="1"/>
    </xf>
    <xf numFmtId="0" fontId="15" fillId="4" borderId="1" xfId="0" applyFont="1" applyFill="1" applyBorder="1" applyAlignment="1">
      <alignment horizontal="left" vertical="center" wrapText="1"/>
    </xf>
  </cellXfs>
  <cellStyles count="7">
    <cellStyle name="Bad" xfId="5" builtinId="27"/>
    <cellStyle name="Comma" xfId="1" builtinId="3"/>
    <cellStyle name="Currency" xfId="2" builtinId="4"/>
    <cellStyle name="Good" xfId="4" builtinId="26"/>
    <cellStyle name="Hyperlink" xfId="6" builtinId="8"/>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5ABEF-CA52-4AC6-8FDF-55F589FBFCBB}">
  <sheetPr>
    <tabColor theme="4" tint="-0.499984740745262"/>
  </sheetPr>
  <dimension ref="B3:G66"/>
  <sheetViews>
    <sheetView workbookViewId="0">
      <selection activeCell="D46" sqref="D46"/>
    </sheetView>
  </sheetViews>
  <sheetFormatPr baseColWidth="10" defaultColWidth="9.1640625" defaultRowHeight="15" x14ac:dyDescent="0.2"/>
  <cols>
    <col min="1" max="1" width="9.1640625" style="231"/>
    <col min="2" max="2" width="25.6640625" style="231" bestFit="1" customWidth="1"/>
    <col min="3" max="3" width="9.1640625" style="231"/>
    <col min="4" max="4" width="32.5" style="231" bestFit="1" customWidth="1"/>
    <col min="5" max="5" width="14.5" style="231" customWidth="1"/>
    <col min="6" max="16384" width="9.1640625" style="231"/>
  </cols>
  <sheetData>
    <row r="3" spans="2:5" x14ac:dyDescent="0.2">
      <c r="B3" s="231" t="s">
        <v>369</v>
      </c>
    </row>
    <row r="4" spans="2:5" x14ac:dyDescent="0.2">
      <c r="B4" s="231" t="s">
        <v>367</v>
      </c>
    </row>
    <row r="5" spans="2:5" x14ac:dyDescent="0.2">
      <c r="B5" s="231" t="s">
        <v>188</v>
      </c>
      <c r="D5" s="231">
        <v>22061</v>
      </c>
    </row>
    <row r="6" spans="2:5" x14ac:dyDescent="0.2">
      <c r="B6" s="231" t="s">
        <v>275</v>
      </c>
      <c r="D6" s="231" t="s">
        <v>273</v>
      </c>
    </row>
    <row r="7" spans="2:5" x14ac:dyDescent="0.2">
      <c r="B7" s="231" t="s">
        <v>276</v>
      </c>
      <c r="D7" s="231" t="s">
        <v>274</v>
      </c>
    </row>
    <row r="8" spans="2:5" x14ac:dyDescent="0.2">
      <c r="B8" s="231" t="s">
        <v>158</v>
      </c>
      <c r="D8" s="231" t="s">
        <v>262</v>
      </c>
    </row>
    <row r="9" spans="2:5" x14ac:dyDescent="0.2">
      <c r="D9" s="231" t="s">
        <v>263</v>
      </c>
    </row>
    <row r="10" spans="2:5" x14ac:dyDescent="0.2">
      <c r="B10" s="231" t="s">
        <v>221</v>
      </c>
      <c r="D10" s="231">
        <v>28217</v>
      </c>
    </row>
    <row r="11" spans="2:5" x14ac:dyDescent="0.2">
      <c r="B11" s="231" t="s">
        <v>189</v>
      </c>
      <c r="D11" s="231" t="s">
        <v>264</v>
      </c>
    </row>
    <row r="12" spans="2:5" x14ac:dyDescent="0.2">
      <c r="B12" s="231" t="s">
        <v>205</v>
      </c>
      <c r="D12" s="231" t="s">
        <v>265</v>
      </c>
    </row>
    <row r="13" spans="2:5" x14ac:dyDescent="0.2">
      <c r="B13" s="472" t="s">
        <v>368</v>
      </c>
    </row>
    <row r="14" spans="2:5" x14ac:dyDescent="0.2">
      <c r="B14" s="231" t="s">
        <v>190</v>
      </c>
      <c r="D14" s="231" t="s">
        <v>266</v>
      </c>
      <c r="E14" s="231" t="s">
        <v>366</v>
      </c>
    </row>
    <row r="15" spans="2:5" x14ac:dyDescent="0.2">
      <c r="B15" s="231" t="s">
        <v>191</v>
      </c>
      <c r="D15" s="366">
        <v>44153</v>
      </c>
    </row>
    <row r="16" spans="2:5" x14ac:dyDescent="0.2">
      <c r="B16" s="231" t="s">
        <v>192</v>
      </c>
      <c r="D16" s="367">
        <v>1360000</v>
      </c>
    </row>
    <row r="17" spans="2:7" x14ac:dyDescent="0.2">
      <c r="B17" s="231" t="s">
        <v>279</v>
      </c>
      <c r="D17" s="367">
        <v>884000</v>
      </c>
      <c r="G17" s="231" t="s">
        <v>373</v>
      </c>
    </row>
    <row r="18" spans="2:7" x14ac:dyDescent="0.2">
      <c r="B18" s="231" t="s">
        <v>280</v>
      </c>
      <c r="D18" s="367" t="s">
        <v>281</v>
      </c>
    </row>
    <row r="19" spans="2:7" x14ac:dyDescent="0.2">
      <c r="B19" s="231" t="s">
        <v>267</v>
      </c>
      <c r="D19" s="367" t="s">
        <v>268</v>
      </c>
    </row>
    <row r="20" spans="2:7" x14ac:dyDescent="0.2">
      <c r="B20" s="231" t="s">
        <v>193</v>
      </c>
      <c r="D20" s="231" t="s">
        <v>269</v>
      </c>
    </row>
    <row r="21" spans="2:7" x14ac:dyDescent="0.2">
      <c r="B21" s="231" t="s">
        <v>370</v>
      </c>
    </row>
    <row r="22" spans="2:7" x14ac:dyDescent="0.2">
      <c r="B22" s="231" t="s">
        <v>194</v>
      </c>
      <c r="D22" s="368">
        <v>2.59</v>
      </c>
    </row>
    <row r="23" spans="2:7" x14ac:dyDescent="0.2">
      <c r="D23" s="369">
        <f>D22*43560</f>
        <v>112820.4</v>
      </c>
      <c r="E23" s="369"/>
    </row>
    <row r="24" spans="2:7" x14ac:dyDescent="0.2">
      <c r="B24" s="231" t="s">
        <v>330</v>
      </c>
      <c r="D24" s="452">
        <v>265.77</v>
      </c>
      <c r="E24" s="369"/>
    </row>
    <row r="25" spans="2:7" x14ac:dyDescent="0.2">
      <c r="B25" s="231" t="s">
        <v>195</v>
      </c>
      <c r="D25" s="231" t="s">
        <v>242</v>
      </c>
    </row>
    <row r="26" spans="2:7" s="440" customFormat="1" x14ac:dyDescent="0.2">
      <c r="B26" s="440" t="s">
        <v>145</v>
      </c>
      <c r="D26" s="440" t="s">
        <v>30</v>
      </c>
    </row>
    <row r="27" spans="2:7" s="440" customFormat="1" x14ac:dyDescent="0.2">
      <c r="B27" s="440" t="s">
        <v>196</v>
      </c>
      <c r="D27" s="440" t="s">
        <v>329</v>
      </c>
    </row>
    <row r="28" spans="2:7" x14ac:dyDescent="0.2">
      <c r="B28" s="231" t="s">
        <v>197</v>
      </c>
      <c r="D28" s="231" t="s">
        <v>325</v>
      </c>
    </row>
    <row r="29" spans="2:7" x14ac:dyDescent="0.2">
      <c r="D29" s="231" t="s">
        <v>326</v>
      </c>
    </row>
    <row r="30" spans="2:7" x14ac:dyDescent="0.2">
      <c r="B30" s="231" t="s">
        <v>206</v>
      </c>
      <c r="D30" s="231" t="s">
        <v>327</v>
      </c>
    </row>
    <row r="31" spans="2:7" x14ac:dyDescent="0.2">
      <c r="B31" s="231" t="s">
        <v>198</v>
      </c>
      <c r="D31" s="231" t="s">
        <v>203</v>
      </c>
    </row>
    <row r="32" spans="2:7" x14ac:dyDescent="0.2">
      <c r="B32" s="231" t="s">
        <v>208</v>
      </c>
      <c r="D32" s="231" t="s">
        <v>209</v>
      </c>
    </row>
    <row r="33" spans="2:5" x14ac:dyDescent="0.2">
      <c r="B33" s="231" t="s">
        <v>371</v>
      </c>
    </row>
    <row r="34" spans="2:5" x14ac:dyDescent="0.2">
      <c r="B34" s="231" t="s">
        <v>210</v>
      </c>
      <c r="D34" s="231" t="s">
        <v>222</v>
      </c>
    </row>
    <row r="35" spans="2:5" x14ac:dyDescent="0.2">
      <c r="B35" s="231" t="s">
        <v>211</v>
      </c>
      <c r="D35" s="231" t="s">
        <v>30</v>
      </c>
    </row>
    <row r="36" spans="2:5" x14ac:dyDescent="0.2">
      <c r="B36" s="231" t="s">
        <v>207</v>
      </c>
      <c r="D36" s="231">
        <v>1989</v>
      </c>
    </row>
    <row r="37" spans="2:5" x14ac:dyDescent="0.2">
      <c r="B37" s="231" t="s">
        <v>12</v>
      </c>
      <c r="D37" s="370">
        <v>16268</v>
      </c>
    </row>
    <row r="38" spans="2:5" x14ac:dyDescent="0.2">
      <c r="B38" s="231" t="s">
        <v>75</v>
      </c>
      <c r="D38" s="370">
        <v>16268</v>
      </c>
    </row>
    <row r="39" spans="2:5" x14ac:dyDescent="0.2">
      <c r="B39" s="231" t="s">
        <v>328</v>
      </c>
      <c r="D39" s="451">
        <v>57780</v>
      </c>
      <c r="E39" s="450"/>
    </row>
    <row r="40" spans="2:5" x14ac:dyDescent="0.2">
      <c r="B40" s="231" t="s">
        <v>223</v>
      </c>
      <c r="D40" s="370" t="s">
        <v>28</v>
      </c>
    </row>
    <row r="41" spans="2:5" x14ac:dyDescent="0.2">
      <c r="B41" s="231" t="s">
        <v>272</v>
      </c>
      <c r="D41" s="370">
        <v>1209</v>
      </c>
    </row>
    <row r="42" spans="2:5" x14ac:dyDescent="0.2">
      <c r="B42" s="231" t="s">
        <v>224</v>
      </c>
      <c r="D42" s="373">
        <f>D41/D37</f>
        <v>7.4317678878780422E-2</v>
      </c>
    </row>
    <row r="43" spans="2:5" x14ac:dyDescent="0.2">
      <c r="B43" s="231" t="s">
        <v>212</v>
      </c>
      <c r="D43" s="373">
        <f>D39/D23</f>
        <v>0.51214142123233031</v>
      </c>
    </row>
    <row r="44" spans="2:5" x14ac:dyDescent="0.2">
      <c r="B44" s="231" t="s">
        <v>229</v>
      </c>
      <c r="D44" s="439">
        <v>18</v>
      </c>
    </row>
    <row r="45" spans="2:5" x14ac:dyDescent="0.2">
      <c r="B45" s="231" t="s">
        <v>271</v>
      </c>
      <c r="D45" s="439">
        <v>21</v>
      </c>
    </row>
    <row r="46" spans="2:5" x14ac:dyDescent="0.2">
      <c r="B46" s="231" t="s">
        <v>277</v>
      </c>
      <c r="D46" s="439" t="s">
        <v>278</v>
      </c>
    </row>
    <row r="47" spans="2:5" x14ac:dyDescent="0.2">
      <c r="B47" s="231" t="s">
        <v>230</v>
      </c>
      <c r="D47" s="440" t="s">
        <v>270</v>
      </c>
    </row>
    <row r="48" spans="2:5" x14ac:dyDescent="0.2">
      <c r="B48" s="231" t="s">
        <v>232</v>
      </c>
      <c r="D48" s="446">
        <f>D37/3</f>
        <v>5422.666666666667</v>
      </c>
    </row>
    <row r="49" spans="2:4" x14ac:dyDescent="0.2">
      <c r="B49" s="231" t="s">
        <v>213</v>
      </c>
      <c r="D49" s="373" t="s">
        <v>214</v>
      </c>
    </row>
    <row r="50" spans="2:4" x14ac:dyDescent="0.2">
      <c r="B50" s="231" t="s">
        <v>16</v>
      </c>
      <c r="D50" s="447">
        <v>53</v>
      </c>
    </row>
    <row r="51" spans="2:4" x14ac:dyDescent="0.2">
      <c r="B51" s="231" t="s">
        <v>17</v>
      </c>
      <c r="D51" s="372">
        <f>D50/(D39/1000)</f>
        <v>0.91727241259951542</v>
      </c>
    </row>
    <row r="52" spans="2:4" x14ac:dyDescent="0.2">
      <c r="B52" s="231" t="s">
        <v>371</v>
      </c>
      <c r="D52" s="373"/>
    </row>
    <row r="53" spans="2:4" x14ac:dyDescent="0.2">
      <c r="B53" s="231" t="s">
        <v>215</v>
      </c>
      <c r="D53" s="371">
        <f>2022-D36</f>
        <v>33</v>
      </c>
    </row>
    <row r="54" spans="2:4" x14ac:dyDescent="0.2">
      <c r="B54" s="231" t="s">
        <v>153</v>
      </c>
      <c r="D54" s="371">
        <v>10</v>
      </c>
    </row>
    <row r="55" spans="2:4" x14ac:dyDescent="0.2">
      <c r="B55" s="231" t="s">
        <v>152</v>
      </c>
      <c r="D55" s="371">
        <v>40</v>
      </c>
    </row>
    <row r="56" spans="2:4" x14ac:dyDescent="0.2">
      <c r="B56" s="231" t="s">
        <v>199</v>
      </c>
      <c r="D56" s="371">
        <f>D55-D54</f>
        <v>30</v>
      </c>
    </row>
    <row r="57" spans="2:4" x14ac:dyDescent="0.2">
      <c r="B57" s="231" t="s">
        <v>283</v>
      </c>
      <c r="D57" s="371" t="s">
        <v>30</v>
      </c>
    </row>
    <row r="58" spans="2:4" x14ac:dyDescent="0.2">
      <c r="B58" s="231" t="s">
        <v>282</v>
      </c>
      <c r="D58" s="372" t="s">
        <v>27</v>
      </c>
    </row>
    <row r="59" spans="2:4" x14ac:dyDescent="0.2">
      <c r="B59" s="231" t="s">
        <v>216</v>
      </c>
      <c r="D59" s="231" t="s">
        <v>28</v>
      </c>
    </row>
    <row r="60" spans="2:4" x14ac:dyDescent="0.2">
      <c r="B60" s="231" t="s">
        <v>372</v>
      </c>
    </row>
    <row r="61" spans="2:4" x14ac:dyDescent="0.2">
      <c r="B61" s="231" t="s">
        <v>202</v>
      </c>
      <c r="D61" s="366">
        <v>44747</v>
      </c>
    </row>
    <row r="62" spans="2:4" x14ac:dyDescent="0.2">
      <c r="B62" s="231" t="s">
        <v>200</v>
      </c>
      <c r="D62" s="231" t="s">
        <v>204</v>
      </c>
    </row>
    <row r="63" spans="2:4" x14ac:dyDescent="0.2">
      <c r="B63" s="231" t="s">
        <v>201</v>
      </c>
      <c r="D63" s="231" t="s">
        <v>261</v>
      </c>
    </row>
    <row r="66" spans="5:5" x14ac:dyDescent="0.2">
      <c r="E66" s="231" t="s">
        <v>365</v>
      </c>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7E62-CCED-4FF9-BFB0-F7A2007687BF}">
  <sheetPr>
    <tabColor theme="4" tint="-0.499984740745262"/>
  </sheetPr>
  <dimension ref="A1:AG16"/>
  <sheetViews>
    <sheetView workbookViewId="0">
      <pane ySplit="1" topLeftCell="A2" activePane="bottomLeft" state="frozen"/>
      <selection activeCell="K72" sqref="K72"/>
      <selection pane="bottomLeft" activeCell="AC3" sqref="AC3"/>
    </sheetView>
  </sheetViews>
  <sheetFormatPr baseColWidth="10" defaultColWidth="9.1640625" defaultRowHeight="12" x14ac:dyDescent="0.2"/>
  <cols>
    <col min="1" max="1" width="14.1640625" style="24" customWidth="1"/>
    <col min="2" max="2" width="27.1640625" style="25" customWidth="1"/>
    <col min="3" max="3" width="21.1640625" style="25" customWidth="1"/>
    <col min="4" max="4" width="23.1640625" style="25" customWidth="1"/>
    <col min="5" max="5" width="12" style="26" customWidth="1"/>
    <col min="6" max="6" width="14.6640625" style="27" customWidth="1"/>
    <col min="7" max="7" width="14.6640625" style="28" customWidth="1"/>
    <col min="8" max="8" width="9.5" style="29" customWidth="1"/>
    <col min="9" max="9" width="10" style="29" customWidth="1"/>
    <col min="10" max="10" width="12.83203125" style="29" customWidth="1"/>
    <col min="11" max="11" width="10.83203125" style="30" customWidth="1"/>
    <col min="12" max="12" width="9.83203125" style="29" customWidth="1"/>
    <col min="13" max="13" width="12.83203125" style="31" customWidth="1"/>
    <col min="14" max="14" width="10.6640625" style="32" customWidth="1"/>
    <col min="15" max="15" width="10.6640625" style="48" customWidth="1"/>
    <col min="16" max="16" width="10.6640625" style="392" customWidth="1"/>
    <col min="17" max="17" width="10.6640625" style="48" customWidth="1"/>
    <col min="18" max="18" width="10.6640625" style="392" customWidth="1"/>
    <col min="19" max="19" width="9" style="48" customWidth="1"/>
    <col min="20" max="22" width="11.1640625" style="48" customWidth="1"/>
    <col min="23" max="23" width="8.6640625" style="48" customWidth="1"/>
    <col min="24" max="24" width="9.1640625" style="48" customWidth="1"/>
    <col min="25" max="26" width="12.33203125" style="32" customWidth="1"/>
    <col min="27" max="27" width="12.33203125" style="31" customWidth="1"/>
    <col min="28" max="28" width="12.33203125" style="32" customWidth="1"/>
    <col min="29" max="29" width="14.6640625" style="28" customWidth="1"/>
    <col min="30" max="30" width="14.6640625" style="29" customWidth="1"/>
    <col min="31" max="31" width="25.6640625" style="25" customWidth="1"/>
    <col min="32" max="16384" width="9.1640625" style="32"/>
  </cols>
  <sheetData>
    <row r="1" spans="1:33" s="149" customFormat="1" x14ac:dyDescent="0.2">
      <c r="A1" s="150" t="s">
        <v>0</v>
      </c>
      <c r="B1" s="149" t="s">
        <v>1</v>
      </c>
      <c r="C1" s="149" t="s">
        <v>2</v>
      </c>
      <c r="D1" s="149" t="s">
        <v>3</v>
      </c>
      <c r="E1" s="151" t="s">
        <v>4</v>
      </c>
      <c r="F1" s="152" t="s">
        <v>5</v>
      </c>
      <c r="G1" s="153" t="s">
        <v>6</v>
      </c>
      <c r="H1" s="154" t="s">
        <v>7</v>
      </c>
      <c r="I1" s="154" t="s">
        <v>8</v>
      </c>
      <c r="J1" s="154" t="s">
        <v>9</v>
      </c>
      <c r="K1" s="155" t="s">
        <v>10</v>
      </c>
      <c r="L1" s="154" t="s">
        <v>11</v>
      </c>
      <c r="M1" s="156" t="s">
        <v>12</v>
      </c>
      <c r="N1" s="149" t="s">
        <v>13</v>
      </c>
      <c r="O1" s="157" t="s">
        <v>14</v>
      </c>
      <c r="P1" s="387" t="s">
        <v>228</v>
      </c>
      <c r="Q1" s="157" t="s">
        <v>226</v>
      </c>
      <c r="R1" s="387" t="s">
        <v>227</v>
      </c>
      <c r="S1" s="157" t="s">
        <v>15</v>
      </c>
      <c r="T1" s="157" t="s">
        <v>18</v>
      </c>
      <c r="U1" s="157" t="s">
        <v>229</v>
      </c>
      <c r="V1" s="157" t="s">
        <v>282</v>
      </c>
      <c r="W1" s="157" t="s">
        <v>16</v>
      </c>
      <c r="X1" s="157" t="s">
        <v>17</v>
      </c>
      <c r="Y1" s="441" t="s">
        <v>19</v>
      </c>
      <c r="Z1" s="149" t="s">
        <v>230</v>
      </c>
      <c r="AA1" s="156" t="s">
        <v>232</v>
      </c>
      <c r="AB1" s="149" t="s">
        <v>20</v>
      </c>
      <c r="AC1" s="153" t="s">
        <v>21</v>
      </c>
      <c r="AD1" s="154" t="s">
        <v>22</v>
      </c>
      <c r="AE1" s="158" t="s">
        <v>23</v>
      </c>
      <c r="AF1" s="149" t="s">
        <v>24</v>
      </c>
      <c r="AG1" s="149" t="s">
        <v>25</v>
      </c>
    </row>
    <row r="2" spans="1:33" s="9" customFormat="1" x14ac:dyDescent="0.2">
      <c r="A2" s="1"/>
      <c r="B2" s="2"/>
      <c r="C2" s="2"/>
      <c r="D2" s="2"/>
      <c r="E2" s="3"/>
      <c r="F2" s="4"/>
      <c r="G2" s="5"/>
      <c r="H2" s="6"/>
      <c r="I2" s="6"/>
      <c r="J2" s="6"/>
      <c r="K2" s="7"/>
      <c r="L2" s="6"/>
      <c r="M2" s="8"/>
      <c r="O2" s="10"/>
      <c r="P2" s="388"/>
      <c r="Q2" s="10"/>
      <c r="R2" s="388"/>
      <c r="S2" s="10"/>
      <c r="T2" s="190"/>
      <c r="U2" s="379"/>
      <c r="V2" s="10"/>
      <c r="W2" s="10"/>
      <c r="X2" s="10"/>
      <c r="AA2" s="8"/>
      <c r="AC2" s="5"/>
      <c r="AD2" s="6"/>
      <c r="AE2" s="2"/>
      <c r="AF2" s="11"/>
    </row>
    <row r="3" spans="1:33" s="20" customFormat="1" x14ac:dyDescent="0.2">
      <c r="A3" s="12" t="s">
        <v>26</v>
      </c>
      <c r="B3" s="13" t="str">
        <f>Subj.!D8</f>
        <v>4735 Dwight Evans Rd</v>
      </c>
      <c r="C3" s="13" t="str">
        <f>Subj.!D9</f>
        <v>Charlotte, NC</v>
      </c>
      <c r="D3" s="172" t="str">
        <f>Subj.!D11</f>
        <v>145-301-22</v>
      </c>
      <c r="E3" s="14"/>
      <c r="F3" s="15"/>
      <c r="G3" s="16"/>
      <c r="H3" s="17"/>
      <c r="I3" s="17"/>
      <c r="J3" s="17"/>
      <c r="K3" s="18"/>
      <c r="L3" s="17"/>
      <c r="M3" s="19">
        <f>Subj.!D37</f>
        <v>16268</v>
      </c>
      <c r="N3" s="20">
        <f>Subj.!D36</f>
        <v>1989</v>
      </c>
      <c r="O3" s="21">
        <f>Subj.!D23</f>
        <v>112820.4</v>
      </c>
      <c r="P3" s="389">
        <f>Subj.!D43</f>
        <v>0.51214142123233031</v>
      </c>
      <c r="Q3" s="21">
        <f>Subj.!D41</f>
        <v>1209</v>
      </c>
      <c r="R3" s="389">
        <f>Subj.!D42</f>
        <v>7.4317678878780422E-2</v>
      </c>
      <c r="S3" s="21" t="str">
        <f>Subj.!D35</f>
        <v>Average</v>
      </c>
      <c r="T3" s="177">
        <f>Subj.!D54</f>
        <v>10</v>
      </c>
      <c r="U3" s="380">
        <f>Subj.!D44</f>
        <v>18</v>
      </c>
      <c r="V3" s="21" t="str">
        <f>Subj.!D58</f>
        <v>Good</v>
      </c>
      <c r="W3" s="21">
        <f>Subj.!D50</f>
        <v>53</v>
      </c>
      <c r="X3" s="147">
        <f>Subj.!D51</f>
        <v>0.91727241259951542</v>
      </c>
      <c r="Y3" s="20" t="s">
        <v>240</v>
      </c>
      <c r="Z3" s="20" t="str">
        <f>Subj.!D47</f>
        <v>0 GL/3 DH</v>
      </c>
      <c r="AA3" s="19">
        <f>Subj.!D48</f>
        <v>5422.666666666667</v>
      </c>
      <c r="AB3" s="20" t="s">
        <v>28</v>
      </c>
      <c r="AC3" s="16" t="str">
        <f>Subj.!D28</f>
        <v>I-2</v>
      </c>
      <c r="AD3" s="17"/>
      <c r="AE3" s="13"/>
      <c r="AF3" s="148">
        <f t="shared" ref="AF3" si="0">M3/O3</f>
        <v>0.14419378055741694</v>
      </c>
    </row>
    <row r="4" spans="1:33" s="168" customFormat="1" x14ac:dyDescent="0.2">
      <c r="A4" s="159"/>
      <c r="B4" s="160"/>
      <c r="C4" s="160"/>
      <c r="D4" s="161"/>
      <c r="E4" s="162"/>
      <c r="F4" s="163"/>
      <c r="G4" s="164"/>
      <c r="H4" s="165"/>
      <c r="I4" s="165"/>
      <c r="J4" s="165"/>
      <c r="K4" s="166"/>
      <c r="L4" s="165"/>
      <c r="M4" s="167"/>
      <c r="O4" s="169"/>
      <c r="P4" s="390"/>
      <c r="Q4" s="169"/>
      <c r="R4" s="390"/>
      <c r="S4" s="169"/>
      <c r="T4" s="385"/>
      <c r="U4" s="381"/>
      <c r="V4" s="169"/>
      <c r="W4" s="169"/>
      <c r="X4" s="170"/>
      <c r="AA4" s="167"/>
      <c r="AC4" s="164"/>
      <c r="AD4" s="165"/>
      <c r="AE4" s="160"/>
      <c r="AF4" s="171"/>
    </row>
    <row r="5" spans="1:33" s="20" customFormat="1" x14ac:dyDescent="0.2">
      <c r="A5" s="12"/>
      <c r="B5" s="13"/>
      <c r="C5" s="13"/>
      <c r="D5" s="13"/>
      <c r="E5" s="14"/>
      <c r="F5" s="15"/>
      <c r="G5" s="16"/>
      <c r="H5" s="17"/>
      <c r="I5" s="17"/>
      <c r="J5" s="17"/>
      <c r="K5" s="18"/>
      <c r="L5" s="17"/>
      <c r="M5" s="19"/>
      <c r="O5" s="21"/>
      <c r="P5" s="389"/>
      <c r="Q5" s="21"/>
      <c r="R5" s="389"/>
      <c r="S5" s="21"/>
      <c r="T5" s="177"/>
      <c r="U5" s="380"/>
      <c r="V5" s="21"/>
      <c r="W5" s="21"/>
      <c r="X5" s="22"/>
      <c r="AA5" s="19"/>
      <c r="AC5" s="16"/>
      <c r="AD5" s="17"/>
      <c r="AE5" s="13"/>
      <c r="AF5" s="23"/>
    </row>
    <row r="6" spans="1:33" x14ac:dyDescent="0.2">
      <c r="B6" s="25" t="s">
        <v>284</v>
      </c>
      <c r="C6" s="25" t="s">
        <v>263</v>
      </c>
      <c r="D6" s="25" t="s">
        <v>285</v>
      </c>
      <c r="E6" s="26">
        <v>44698</v>
      </c>
      <c r="F6" s="27">
        <v>2275000</v>
      </c>
      <c r="G6" s="28">
        <f>F6/M6</f>
        <v>115.98857958600999</v>
      </c>
      <c r="H6" s="29" t="s">
        <v>332</v>
      </c>
      <c r="I6" s="29" t="s">
        <v>331</v>
      </c>
      <c r="J6" s="29" t="s">
        <v>243</v>
      </c>
      <c r="K6" s="30">
        <v>0.5</v>
      </c>
      <c r="L6" s="29" t="s">
        <v>29</v>
      </c>
      <c r="M6" s="31">
        <v>19614</v>
      </c>
      <c r="N6" s="32">
        <v>1988</v>
      </c>
      <c r="O6" s="48">
        <v>60984</v>
      </c>
      <c r="P6" s="392">
        <f>M6/O6</f>
        <v>0.32162534435261708</v>
      </c>
      <c r="Q6" s="48">
        <v>4412</v>
      </c>
      <c r="R6" s="392">
        <f>Q6/M6</f>
        <v>0.22494136841031917</v>
      </c>
      <c r="S6" s="48" t="s">
        <v>30</v>
      </c>
      <c r="T6" s="386">
        <v>10</v>
      </c>
      <c r="U6" s="384">
        <v>20</v>
      </c>
      <c r="V6" s="48" t="s">
        <v>27</v>
      </c>
      <c r="W6" s="48">
        <v>29</v>
      </c>
      <c r="X6" s="34">
        <f>W6/(M6/1000)</f>
        <v>1.4785357397777097</v>
      </c>
      <c r="Y6" s="32" t="s">
        <v>334</v>
      </c>
      <c r="Z6" s="32" t="s">
        <v>333</v>
      </c>
      <c r="AA6" s="31">
        <f>M6/4</f>
        <v>4903.5</v>
      </c>
      <c r="AB6" s="32" t="s">
        <v>28</v>
      </c>
      <c r="AD6" s="29" t="s">
        <v>335</v>
      </c>
    </row>
    <row r="7" spans="1:33" x14ac:dyDescent="0.2">
      <c r="B7" s="25" t="s">
        <v>286</v>
      </c>
      <c r="C7" s="25" t="s">
        <v>287</v>
      </c>
      <c r="D7" s="25" t="s">
        <v>288</v>
      </c>
      <c r="E7" s="26">
        <v>44547</v>
      </c>
      <c r="F7" s="27">
        <v>1845000</v>
      </c>
      <c r="G7" s="28">
        <f>F7/M7</f>
        <v>143.69158878504672</v>
      </c>
      <c r="H7" s="29" t="s">
        <v>324</v>
      </c>
      <c r="I7" s="29" t="s">
        <v>336</v>
      </c>
      <c r="J7" s="29" t="s">
        <v>225</v>
      </c>
      <c r="K7" s="30" t="s">
        <v>234</v>
      </c>
      <c r="L7" s="29" t="s">
        <v>29</v>
      </c>
      <c r="M7" s="31">
        <v>12840</v>
      </c>
      <c r="N7" s="32">
        <v>1986</v>
      </c>
      <c r="O7" s="48">
        <v>105981</v>
      </c>
      <c r="P7" s="392">
        <f>M7/O7</f>
        <v>0.1211537917173833</v>
      </c>
      <c r="Q7" s="48">
        <v>3500</v>
      </c>
      <c r="R7" s="392">
        <f>Q7/M7</f>
        <v>0.27258566978193144</v>
      </c>
      <c r="S7" s="48" t="s">
        <v>30</v>
      </c>
      <c r="T7" s="386">
        <v>10</v>
      </c>
      <c r="U7" s="384">
        <v>18</v>
      </c>
      <c r="V7" s="48" t="s">
        <v>27</v>
      </c>
      <c r="W7" s="48">
        <v>10</v>
      </c>
      <c r="X7" s="34">
        <f>W7/(M7/1000)</f>
        <v>0.77881619937694702</v>
      </c>
      <c r="Y7" s="32" t="s">
        <v>334</v>
      </c>
      <c r="Z7" s="32" t="s">
        <v>301</v>
      </c>
      <c r="AA7" s="31">
        <f>M7/3</f>
        <v>4280</v>
      </c>
      <c r="AB7" s="32" t="s">
        <v>28</v>
      </c>
      <c r="AD7" s="29" t="s">
        <v>337</v>
      </c>
    </row>
    <row r="8" spans="1:33" x14ac:dyDescent="0.2">
      <c r="B8" s="25" t="s">
        <v>289</v>
      </c>
      <c r="C8" s="25" t="s">
        <v>290</v>
      </c>
      <c r="D8" s="25" t="s">
        <v>291</v>
      </c>
      <c r="E8" s="26">
        <v>43976</v>
      </c>
      <c r="F8" s="27">
        <v>1575000</v>
      </c>
      <c r="G8" s="28">
        <f>F8/M8</f>
        <v>103.61842105263158</v>
      </c>
      <c r="H8" s="29" t="s">
        <v>292</v>
      </c>
      <c r="I8" s="29" t="s">
        <v>293</v>
      </c>
      <c r="J8" s="29" t="s">
        <v>225</v>
      </c>
      <c r="K8" s="30" t="s">
        <v>234</v>
      </c>
      <c r="L8" s="29" t="s">
        <v>29</v>
      </c>
      <c r="M8" s="31">
        <v>15200</v>
      </c>
      <c r="N8" s="32">
        <v>2001</v>
      </c>
      <c r="O8" s="48">
        <v>60113</v>
      </c>
      <c r="P8" s="392">
        <f>M8/O8</f>
        <v>0.25285711909237601</v>
      </c>
      <c r="Q8" s="48">
        <v>4200</v>
      </c>
      <c r="R8" s="392">
        <f>Q8/M8</f>
        <v>0.27631578947368424</v>
      </c>
      <c r="S8" s="48" t="s">
        <v>30</v>
      </c>
      <c r="T8" s="386">
        <v>10</v>
      </c>
      <c r="U8" s="384">
        <v>18</v>
      </c>
      <c r="V8" s="48" t="s">
        <v>27</v>
      </c>
      <c r="W8" s="48">
        <v>33</v>
      </c>
      <c r="X8" s="34">
        <f>W8/(M8/1000)</f>
        <v>2.1710526315789473</v>
      </c>
      <c r="Y8" s="32" t="s">
        <v>334</v>
      </c>
      <c r="Z8" s="32" t="s">
        <v>233</v>
      </c>
      <c r="AA8" s="31">
        <f>M8/4</f>
        <v>3800</v>
      </c>
      <c r="AB8" s="32" t="s">
        <v>28</v>
      </c>
      <c r="AD8" s="29" t="s">
        <v>295</v>
      </c>
      <c r="AF8" s="23">
        <f t="shared" ref="AF8:AF10" si="1">M8/O8</f>
        <v>0.25285711909237601</v>
      </c>
      <c r="AG8" s="28">
        <f t="shared" ref="AG8:AG10" si="2">F8/O8</f>
        <v>26.200655432269226</v>
      </c>
    </row>
    <row r="9" spans="1:33" x14ac:dyDescent="0.2">
      <c r="B9" s="25" t="s">
        <v>296</v>
      </c>
      <c r="C9" s="25" t="s">
        <v>263</v>
      </c>
      <c r="D9" s="25" t="s">
        <v>297</v>
      </c>
      <c r="E9" s="26">
        <v>44119</v>
      </c>
      <c r="F9" s="27">
        <v>1725000</v>
      </c>
      <c r="G9" s="28">
        <f t="shared" ref="G9" si="3">F9/M9</f>
        <v>134.01180857675575</v>
      </c>
      <c r="H9" s="29" t="s">
        <v>298</v>
      </c>
      <c r="I9" s="29" t="s">
        <v>299</v>
      </c>
      <c r="J9" s="29" t="s">
        <v>225</v>
      </c>
      <c r="K9" s="30" t="s">
        <v>234</v>
      </c>
      <c r="L9" s="29" t="s">
        <v>29</v>
      </c>
      <c r="M9" s="31">
        <v>12872</v>
      </c>
      <c r="N9" s="32">
        <v>1989</v>
      </c>
      <c r="O9" s="33">
        <v>87120</v>
      </c>
      <c r="P9" s="392">
        <f t="shared" ref="P9" si="4">M9/O9</f>
        <v>0.14775022956841138</v>
      </c>
      <c r="Q9" s="33">
        <v>3988</v>
      </c>
      <c r="R9" s="392">
        <f t="shared" ref="R9" si="5">Q9/M9</f>
        <v>0.30981976382846488</v>
      </c>
      <c r="S9" s="33" t="s">
        <v>30</v>
      </c>
      <c r="T9" s="175">
        <v>10</v>
      </c>
      <c r="U9" s="382">
        <v>21</v>
      </c>
      <c r="V9" s="33" t="s">
        <v>27</v>
      </c>
      <c r="W9" s="33">
        <v>14</v>
      </c>
      <c r="X9" s="22">
        <f t="shared" ref="X9" si="6">W9/(M9/1000)</f>
        <v>1.0876320696084525</v>
      </c>
      <c r="Y9" s="32" t="s">
        <v>334</v>
      </c>
      <c r="Z9" s="32" t="s">
        <v>301</v>
      </c>
      <c r="AA9" s="31">
        <f>M9/3</f>
        <v>4290.666666666667</v>
      </c>
      <c r="AB9" s="32" t="s">
        <v>302</v>
      </c>
      <c r="AD9" s="29" t="s">
        <v>303</v>
      </c>
      <c r="AF9" s="23">
        <f t="shared" si="1"/>
        <v>0.14775022956841138</v>
      </c>
      <c r="AG9" s="28">
        <f t="shared" si="2"/>
        <v>19.800275482093664</v>
      </c>
    </row>
    <row r="10" spans="1:33" x14ac:dyDescent="0.2">
      <c r="B10" s="25" t="s">
        <v>317</v>
      </c>
      <c r="C10" s="25" t="s">
        <v>318</v>
      </c>
      <c r="D10" s="25" t="s">
        <v>319</v>
      </c>
      <c r="E10" s="26">
        <v>43977</v>
      </c>
      <c r="F10" s="27">
        <v>1775000</v>
      </c>
      <c r="G10" s="28">
        <f>F10/M10</f>
        <v>123.26388888888889</v>
      </c>
      <c r="H10" s="29" t="s">
        <v>320</v>
      </c>
      <c r="I10" s="29" t="s">
        <v>321</v>
      </c>
      <c r="J10" s="29" t="s">
        <v>243</v>
      </c>
      <c r="K10" s="30">
        <v>0.67</v>
      </c>
      <c r="L10" s="29" t="s">
        <v>29</v>
      </c>
      <c r="M10" s="31">
        <v>14400</v>
      </c>
      <c r="N10" s="32">
        <v>2008</v>
      </c>
      <c r="O10" s="48">
        <v>100624</v>
      </c>
      <c r="P10" s="392">
        <f>M10/O10</f>
        <v>0.14310701224359992</v>
      </c>
      <c r="Q10" s="48">
        <v>7146</v>
      </c>
      <c r="R10" s="392">
        <f>Q10/M10</f>
        <v>0.49625000000000002</v>
      </c>
      <c r="S10" s="48" t="s">
        <v>30</v>
      </c>
      <c r="T10" s="386">
        <v>5</v>
      </c>
      <c r="U10" s="384">
        <v>18</v>
      </c>
      <c r="V10" s="48" t="s">
        <v>27</v>
      </c>
      <c r="W10" s="48">
        <v>28</v>
      </c>
      <c r="X10" s="34">
        <f>W10/(M10/1000)</f>
        <v>1.9444444444444444</v>
      </c>
      <c r="Y10" s="32" t="s">
        <v>334</v>
      </c>
      <c r="Z10" s="32" t="s">
        <v>322</v>
      </c>
      <c r="AA10" s="31">
        <f>M10/5</f>
        <v>2880</v>
      </c>
      <c r="AB10" s="32" t="s">
        <v>28</v>
      </c>
      <c r="AD10" s="29" t="s">
        <v>323</v>
      </c>
      <c r="AF10" s="23">
        <f t="shared" si="1"/>
        <v>0.14310701224359992</v>
      </c>
      <c r="AG10" s="28">
        <f t="shared" si="2"/>
        <v>17.639926856415965</v>
      </c>
    </row>
    <row r="11" spans="1:33" x14ac:dyDescent="0.2">
      <c r="T11" s="386"/>
      <c r="U11" s="384"/>
      <c r="X11" s="34"/>
      <c r="AF11" s="23"/>
      <c r="AG11" s="28"/>
    </row>
    <row r="12" spans="1:33" s="43" customFormat="1" x14ac:dyDescent="0.2">
      <c r="A12" s="35"/>
      <c r="B12" s="36"/>
      <c r="C12" s="36"/>
      <c r="D12" s="36"/>
      <c r="E12" s="37"/>
      <c r="F12" s="38"/>
      <c r="G12" s="39"/>
      <c r="H12" s="40"/>
      <c r="I12" s="40"/>
      <c r="J12" s="40"/>
      <c r="K12" s="41"/>
      <c r="L12" s="40"/>
      <c r="M12" s="42"/>
      <c r="O12" s="44"/>
      <c r="P12" s="393"/>
      <c r="Q12" s="44"/>
      <c r="R12" s="393"/>
      <c r="S12" s="44"/>
      <c r="T12" s="173"/>
      <c r="U12" s="383"/>
      <c r="V12" s="44"/>
      <c r="W12" s="44"/>
      <c r="X12" s="45"/>
      <c r="AA12" s="42"/>
      <c r="AC12" s="39"/>
      <c r="AD12" s="40"/>
      <c r="AE12" s="36"/>
      <c r="AF12" s="46"/>
    </row>
    <row r="13" spans="1:33" s="20" customFormat="1" x14ac:dyDescent="0.2">
      <c r="A13" s="12" t="s">
        <v>66</v>
      </c>
      <c r="B13" s="13"/>
      <c r="C13" s="13"/>
      <c r="D13" s="13"/>
      <c r="E13" s="14"/>
      <c r="F13" s="15"/>
      <c r="G13" s="16"/>
      <c r="H13" s="17"/>
      <c r="I13" s="17"/>
      <c r="J13" s="17"/>
      <c r="K13" s="18"/>
      <c r="L13" s="17"/>
      <c r="M13" s="19"/>
      <c r="O13" s="21"/>
      <c r="P13" s="389"/>
      <c r="Q13" s="21"/>
      <c r="R13" s="389"/>
      <c r="S13" s="21"/>
      <c r="T13" s="177"/>
      <c r="U13" s="380"/>
      <c r="V13" s="21"/>
      <c r="W13" s="21"/>
      <c r="X13" s="21"/>
      <c r="AA13" s="19"/>
      <c r="AC13" s="16"/>
      <c r="AD13" s="17"/>
      <c r="AE13" s="13"/>
    </row>
    <row r="14" spans="1:33" x14ac:dyDescent="0.2">
      <c r="O14" s="33"/>
      <c r="P14" s="391"/>
      <c r="Q14" s="33"/>
      <c r="R14" s="391"/>
      <c r="S14" s="33"/>
      <c r="T14" s="175"/>
      <c r="U14" s="382"/>
      <c r="V14" s="33"/>
      <c r="W14" s="33"/>
      <c r="X14" s="33"/>
    </row>
    <row r="15" spans="1:33" x14ac:dyDescent="0.2">
      <c r="B15" s="25" t="s">
        <v>304</v>
      </c>
      <c r="C15" s="25" t="s">
        <v>290</v>
      </c>
      <c r="D15" s="25" t="s">
        <v>305</v>
      </c>
      <c r="E15" s="26">
        <v>44236</v>
      </c>
      <c r="F15" s="27">
        <v>1225000</v>
      </c>
      <c r="G15" s="28">
        <f>F15/M15</f>
        <v>92.803030303030297</v>
      </c>
      <c r="H15" s="29" t="s">
        <v>306</v>
      </c>
      <c r="I15" s="29" t="s">
        <v>307</v>
      </c>
      <c r="J15" s="29" t="s">
        <v>243</v>
      </c>
      <c r="K15" s="30">
        <v>0.32</v>
      </c>
      <c r="L15" s="29" t="s">
        <v>29</v>
      </c>
      <c r="M15" s="31">
        <v>13200</v>
      </c>
      <c r="N15" s="32">
        <v>1999</v>
      </c>
      <c r="O15" s="48">
        <v>43560</v>
      </c>
      <c r="P15" s="392">
        <f>M15/O15</f>
        <v>0.30303030303030304</v>
      </c>
      <c r="Q15" s="48">
        <v>4875</v>
      </c>
      <c r="R15" s="392">
        <f>Q15/M15</f>
        <v>0.36931818181818182</v>
      </c>
      <c r="S15" s="48" t="s">
        <v>300</v>
      </c>
      <c r="T15" s="386">
        <v>5</v>
      </c>
      <c r="U15" s="384">
        <v>18</v>
      </c>
      <c r="V15" s="48" t="s">
        <v>30</v>
      </c>
      <c r="W15" s="48">
        <v>18</v>
      </c>
      <c r="X15" s="22">
        <f>W15/(M15/1000)</f>
        <v>1.3636363636363638</v>
      </c>
      <c r="Y15" s="32" t="s">
        <v>294</v>
      </c>
      <c r="Z15" s="32" t="s">
        <v>308</v>
      </c>
      <c r="AA15" s="31">
        <f>M15/6</f>
        <v>2200</v>
      </c>
      <c r="AB15" s="32" t="s">
        <v>28</v>
      </c>
      <c r="AC15" s="28" t="s">
        <v>309</v>
      </c>
      <c r="AD15" s="29" t="s">
        <v>310</v>
      </c>
      <c r="AF15" s="23">
        <f>M15/O15</f>
        <v>0.30303030303030304</v>
      </c>
      <c r="AG15" s="28">
        <f>F15/O15</f>
        <v>28.122130394857667</v>
      </c>
    </row>
    <row r="16" spans="1:33" x14ac:dyDescent="0.2">
      <c r="B16" s="25" t="s">
        <v>311</v>
      </c>
      <c r="C16" s="25" t="s">
        <v>312</v>
      </c>
      <c r="D16" s="25">
        <v>178454</v>
      </c>
      <c r="E16" s="26">
        <v>44376</v>
      </c>
      <c r="F16" s="27">
        <v>1050000</v>
      </c>
      <c r="G16" s="28">
        <f>F16/M16</f>
        <v>87.5</v>
      </c>
      <c r="H16" s="29" t="s">
        <v>313</v>
      </c>
      <c r="I16" s="29" t="s">
        <v>314</v>
      </c>
      <c r="J16" s="29" t="s">
        <v>225</v>
      </c>
      <c r="K16" s="30">
        <v>1</v>
      </c>
      <c r="L16" s="29" t="s">
        <v>29</v>
      </c>
      <c r="M16" s="31">
        <v>12000</v>
      </c>
      <c r="N16" s="32">
        <v>1989</v>
      </c>
      <c r="O16" s="48">
        <v>63598</v>
      </c>
      <c r="P16" s="392">
        <f>M16/O16</f>
        <v>0.1886851787792069</v>
      </c>
      <c r="Q16" s="48">
        <v>2000</v>
      </c>
      <c r="R16" s="448">
        <f>Q16/M16</f>
        <v>0.16666666666666666</v>
      </c>
      <c r="S16" s="48" t="s">
        <v>315</v>
      </c>
      <c r="T16" s="386">
        <v>5</v>
      </c>
      <c r="U16" s="384">
        <v>15</v>
      </c>
      <c r="V16" s="48" t="s">
        <v>30</v>
      </c>
      <c r="W16" s="48">
        <v>21</v>
      </c>
      <c r="X16" s="22">
        <f>W16/(M16/1000)</f>
        <v>1.75</v>
      </c>
      <c r="Y16" s="25" t="s">
        <v>294</v>
      </c>
      <c r="Z16" s="32" t="s">
        <v>231</v>
      </c>
      <c r="AA16" s="31">
        <f>M16/5</f>
        <v>2400</v>
      </c>
      <c r="AB16" s="32" t="s">
        <v>28</v>
      </c>
      <c r="AD16" s="449" t="s">
        <v>316</v>
      </c>
      <c r="AF16" s="23">
        <f>M16/O16</f>
        <v>0.1886851787792069</v>
      </c>
      <c r="AG16" s="28">
        <f>F16/O16</f>
        <v>16.509953143180603</v>
      </c>
    </row>
  </sheetData>
  <phoneticPr fontId="3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96F3C-83DE-460C-83AC-5E7D42E670C9}">
  <sheetPr>
    <tabColor theme="4" tint="-0.499984740745262"/>
  </sheetPr>
  <dimension ref="A1:B30"/>
  <sheetViews>
    <sheetView workbookViewId="0">
      <selection activeCell="A30" sqref="A30:B30"/>
    </sheetView>
  </sheetViews>
  <sheetFormatPr baseColWidth="10" defaultColWidth="9.1640625" defaultRowHeight="15" customHeight="1" x14ac:dyDescent="0.2"/>
  <cols>
    <col min="1" max="2" width="22.6640625" style="49" customWidth="1"/>
    <col min="3" max="16384" width="9.1640625" style="49"/>
  </cols>
  <sheetData>
    <row r="1" spans="1:2" ht="15" customHeight="1" x14ac:dyDescent="0.2">
      <c r="A1" s="474" t="s">
        <v>31</v>
      </c>
      <c r="B1" s="474" t="e">
        <f>SG!#REF!</f>
        <v>#REF!</v>
      </c>
    </row>
    <row r="2" spans="1:2" ht="15" customHeight="1" x14ac:dyDescent="0.2">
      <c r="A2" s="475" t="s">
        <v>32</v>
      </c>
      <c r="B2" s="475"/>
    </row>
    <row r="3" spans="1:2" ht="15" customHeight="1" x14ac:dyDescent="0.2">
      <c r="A3" s="473" t="str">
        <f>SSum!B1</f>
        <v>Address</v>
      </c>
      <c r="B3" s="50" t="str">
        <f>SSum!B6</f>
        <v>10725 John Price Rd</v>
      </c>
    </row>
    <row r="4" spans="1:2" ht="15" customHeight="1" x14ac:dyDescent="0.2">
      <c r="A4" s="473"/>
      <c r="B4" s="50" t="str">
        <f>SSum!C6</f>
        <v>Charlotte, NC</v>
      </c>
    </row>
    <row r="5" spans="1:2" ht="15" customHeight="1" x14ac:dyDescent="0.2">
      <c r="A5" s="50" t="str">
        <f>SSum!D1</f>
        <v>Parcel No.(s)</v>
      </c>
      <c r="B5" s="51" t="str">
        <f>SSum!D6</f>
        <v>201-181-27</v>
      </c>
    </row>
    <row r="6" spans="1:2" ht="15" customHeight="1" x14ac:dyDescent="0.2">
      <c r="A6" s="475" t="s">
        <v>33</v>
      </c>
      <c r="B6" s="475"/>
    </row>
    <row r="7" spans="1:2" ht="15" customHeight="1" x14ac:dyDescent="0.2">
      <c r="A7" s="52" t="str">
        <f>SSum!E1</f>
        <v>Date of Sale</v>
      </c>
      <c r="B7" s="53">
        <f>SSum!E6</f>
        <v>44698</v>
      </c>
    </row>
    <row r="8" spans="1:2" ht="15" customHeight="1" x14ac:dyDescent="0.2">
      <c r="A8" s="52" t="str">
        <f>SSum!F1</f>
        <v>Sale Price</v>
      </c>
      <c r="B8" s="54">
        <f>SSum!F6</f>
        <v>2275000</v>
      </c>
    </row>
    <row r="9" spans="1:2" ht="15" customHeight="1" x14ac:dyDescent="0.2">
      <c r="A9" s="52" t="str">
        <f>SSum!G1</f>
        <v>Price/SF</v>
      </c>
      <c r="B9" s="55">
        <f>SSum!G6</f>
        <v>115.98857958600999</v>
      </c>
    </row>
    <row r="10" spans="1:2" ht="15" customHeight="1" x14ac:dyDescent="0.2">
      <c r="A10" s="52" t="str">
        <f>SSum!H1</f>
        <v>Grantor</v>
      </c>
      <c r="B10" s="56" t="str">
        <f>SSum!H6</f>
        <v>MSE Center LLC</v>
      </c>
    </row>
    <row r="11" spans="1:2" ht="15" customHeight="1" x14ac:dyDescent="0.2">
      <c r="A11" s="52" t="str">
        <f>SSum!I1</f>
        <v>Grantee</v>
      </c>
      <c r="B11" s="56" t="str">
        <f>SSum!I6</f>
        <v>Sand Fiddlers Partners, LLC</v>
      </c>
    </row>
    <row r="12" spans="1:2" ht="15" customHeight="1" x14ac:dyDescent="0.2">
      <c r="A12" s="52" t="str">
        <f>SSum!J1</f>
        <v>Property Rights</v>
      </c>
      <c r="B12" s="50" t="str">
        <f>SSum!J6</f>
        <v>Leased Fee</v>
      </c>
    </row>
    <row r="13" spans="1:2" ht="15" customHeight="1" x14ac:dyDescent="0.2">
      <c r="A13" s="57" t="str">
        <f>SSum!K1</f>
        <v>Occupancy ATOS</v>
      </c>
      <c r="B13" s="58">
        <f>SSum!K6</f>
        <v>0.5</v>
      </c>
    </row>
    <row r="14" spans="1:2" ht="15" customHeight="1" x14ac:dyDescent="0.2">
      <c r="A14" s="52" t="str">
        <f>SSum!L1</f>
        <v>Verification</v>
      </c>
      <c r="B14" s="50" t="str">
        <f>SSum!L6</f>
        <v>Listing Broker</v>
      </c>
    </row>
    <row r="15" spans="1:2" ht="15" customHeight="1" x14ac:dyDescent="0.2">
      <c r="A15" s="475" t="s">
        <v>34</v>
      </c>
      <c r="B15" s="475"/>
    </row>
    <row r="16" spans="1:2" ht="15" customHeight="1" x14ac:dyDescent="0.2">
      <c r="A16" s="59" t="str">
        <f>SSum!M1</f>
        <v>Gross Building Area (SF)</v>
      </c>
      <c r="B16" s="60">
        <f>SSum!M6</f>
        <v>19614</v>
      </c>
    </row>
    <row r="17" spans="1:2" ht="15" customHeight="1" x14ac:dyDescent="0.2">
      <c r="A17" s="61" t="str">
        <f>SSum!N1</f>
        <v>Year Built</v>
      </c>
      <c r="B17" s="50">
        <f>SSum!N6</f>
        <v>1988</v>
      </c>
    </row>
    <row r="18" spans="1:2" ht="15" customHeight="1" x14ac:dyDescent="0.2">
      <c r="A18" s="59" t="str">
        <f>SSum!O1</f>
        <v>Site Size (SF)</v>
      </c>
      <c r="B18" s="60">
        <f>SSum!O6</f>
        <v>60984</v>
      </c>
    </row>
    <row r="19" spans="1:2" ht="15" customHeight="1" x14ac:dyDescent="0.2">
      <c r="A19" s="59" t="s">
        <v>228</v>
      </c>
      <c r="B19" s="394">
        <f>SSum!P6</f>
        <v>0.32162534435261708</v>
      </c>
    </row>
    <row r="20" spans="1:2" ht="15" customHeight="1" x14ac:dyDescent="0.2">
      <c r="A20" s="59" t="str">
        <f>SSum!R1</f>
        <v>Office Ratio</v>
      </c>
      <c r="B20" s="394">
        <f>SSum!R6</f>
        <v>0.22494136841031917</v>
      </c>
    </row>
    <row r="21" spans="1:2" ht="15" customHeight="1" x14ac:dyDescent="0.2">
      <c r="A21" s="59" t="str">
        <f>SSum!S1</f>
        <v>Quality</v>
      </c>
      <c r="B21" s="62" t="str">
        <f>SSum!S6</f>
        <v>Average</v>
      </c>
    </row>
    <row r="22" spans="1:2" ht="15" customHeight="1" x14ac:dyDescent="0.2">
      <c r="A22" s="59" t="str">
        <f>SSum!T1</f>
        <v>Effective Age/Condition</v>
      </c>
      <c r="B22" s="64">
        <f>SSum!T6</f>
        <v>10</v>
      </c>
    </row>
    <row r="23" spans="1:2" ht="15" customHeight="1" x14ac:dyDescent="0.2">
      <c r="A23" s="59" t="str">
        <f>SSum!V1</f>
        <v>Access</v>
      </c>
      <c r="B23" s="60" t="str">
        <f>SSum!V6</f>
        <v>Good</v>
      </c>
    </row>
    <row r="24" spans="1:2" ht="15" customHeight="1" x14ac:dyDescent="0.2">
      <c r="A24" s="59" t="str">
        <f>SSum!X1</f>
        <v>Parking Ratio</v>
      </c>
      <c r="B24" s="63">
        <f>SSum!X6</f>
        <v>1.4785357397777097</v>
      </c>
    </row>
    <row r="25" spans="1:2" ht="15" customHeight="1" x14ac:dyDescent="0.2">
      <c r="A25" s="61" t="str">
        <f>SSum!Y1</f>
        <v>Building Use</v>
      </c>
      <c r="B25" s="50" t="str">
        <f>SSum!Y6</f>
        <v xml:space="preserve">Industrial  </v>
      </c>
    </row>
    <row r="26" spans="1:2" ht="15" customHeight="1" x14ac:dyDescent="0.2">
      <c r="A26" s="59" t="str">
        <f>SSum!U1</f>
        <v>Eave Height</v>
      </c>
      <c r="B26" s="400">
        <f>SSum!U6</f>
        <v>20</v>
      </c>
    </row>
    <row r="27" spans="1:2" ht="15" customHeight="1" x14ac:dyDescent="0.2">
      <c r="A27" s="61" t="str">
        <f>SSum!Z1</f>
        <v>Loading</v>
      </c>
      <c r="B27" s="50" t="str">
        <f>SSum!Z6</f>
        <v>1 GL/3 DH</v>
      </c>
    </row>
    <row r="28" spans="1:2" ht="15" customHeight="1" x14ac:dyDescent="0.2">
      <c r="A28" s="59" t="str">
        <f>SSum!AA1</f>
        <v>Loading SF</v>
      </c>
      <c r="B28" s="60">
        <f>SSum!AA6</f>
        <v>4903.5</v>
      </c>
    </row>
    <row r="29" spans="1:2" ht="15" customHeight="1" x14ac:dyDescent="0.2">
      <c r="A29" s="475" t="s">
        <v>22</v>
      </c>
      <c r="B29" s="475"/>
    </row>
    <row r="30" spans="1:2" ht="15" customHeight="1" x14ac:dyDescent="0.2">
      <c r="A30" s="473" t="str">
        <f>SSum!AD6</f>
        <v>The sale of a freestanding, multi-tenant industrial building located on the southeast side of John Price Road just north of South Tryon Street and about two miles southwest of the Interstate 485/South Tryon Street interchange within the city limits of Charlotte. The building was constructed in 1988 and features concrete block construction, wet sprinkler system and a clear height of 20'. The two-suite building was 50 percent occupied at the time of sale with the tenant leased through August 2026. The property was on the market for about nine months with an original asking price of $2,300,000. Truist Bank financed the deal with a loan in the amount of $1,955,000.</v>
      </c>
      <c r="B30" s="473" t="e">
        <v>#REF!</v>
      </c>
    </row>
  </sheetData>
  <mergeCells count="7">
    <mergeCell ref="A30:B30"/>
    <mergeCell ref="A1:B1"/>
    <mergeCell ref="A2:B2"/>
    <mergeCell ref="A3:A4"/>
    <mergeCell ref="A6:B6"/>
    <mergeCell ref="A15:B15"/>
    <mergeCell ref="A29:B2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3129C-C380-4699-9100-24BBB477250D}">
  <sheetPr>
    <tabColor theme="4" tint="-0.499984740745262"/>
  </sheetPr>
  <dimension ref="A1:B30"/>
  <sheetViews>
    <sheetView workbookViewId="0">
      <selection sqref="A1:B30"/>
    </sheetView>
  </sheetViews>
  <sheetFormatPr baseColWidth="10" defaultColWidth="9.1640625" defaultRowHeight="15" customHeight="1" x14ac:dyDescent="0.2"/>
  <cols>
    <col min="1" max="2" width="22.6640625" style="65" customWidth="1"/>
    <col min="3" max="16384" width="9.1640625" style="65"/>
  </cols>
  <sheetData>
    <row r="1" spans="1:2" ht="15" customHeight="1" x14ac:dyDescent="0.2">
      <c r="A1" s="474" t="s">
        <v>35</v>
      </c>
      <c r="B1" s="474"/>
    </row>
    <row r="2" spans="1:2" ht="15" customHeight="1" x14ac:dyDescent="0.2">
      <c r="A2" s="475" t="s">
        <v>32</v>
      </c>
      <c r="B2" s="475"/>
    </row>
    <row r="3" spans="1:2" ht="15" customHeight="1" x14ac:dyDescent="0.2">
      <c r="A3" s="473" t="str">
        <f>SSum!B1</f>
        <v>Address</v>
      </c>
      <c r="B3" s="51" t="str">
        <f>SSum!B7</f>
        <v>1508 Industrial Dr</v>
      </c>
    </row>
    <row r="4" spans="1:2" ht="15" customHeight="1" x14ac:dyDescent="0.2">
      <c r="A4" s="473"/>
      <c r="B4" s="50" t="str">
        <f>SSum!C7</f>
        <v>Matthews, NC</v>
      </c>
    </row>
    <row r="5" spans="1:2" ht="15" customHeight="1" x14ac:dyDescent="0.2">
      <c r="A5" s="50" t="str">
        <f>SSum!D1</f>
        <v>Parcel No.(s)</v>
      </c>
      <c r="B5" s="51" t="str">
        <f>SSum!D7</f>
        <v>193-211-07</v>
      </c>
    </row>
    <row r="6" spans="1:2" ht="15" customHeight="1" x14ac:dyDescent="0.2">
      <c r="A6" s="475" t="s">
        <v>33</v>
      </c>
      <c r="B6" s="475"/>
    </row>
    <row r="7" spans="1:2" ht="15" customHeight="1" x14ac:dyDescent="0.2">
      <c r="A7" s="52" t="str">
        <f>SSum!E1</f>
        <v>Date of Sale</v>
      </c>
      <c r="B7" s="53">
        <f>SSum!E7</f>
        <v>44547</v>
      </c>
    </row>
    <row r="8" spans="1:2" ht="15" customHeight="1" x14ac:dyDescent="0.2">
      <c r="A8" s="52" t="str">
        <f>SSum!F1</f>
        <v>Sale Price</v>
      </c>
      <c r="B8" s="54">
        <f>SSum!F7</f>
        <v>1845000</v>
      </c>
    </row>
    <row r="9" spans="1:2" ht="15" customHeight="1" x14ac:dyDescent="0.2">
      <c r="A9" s="52" t="str">
        <f>SSum!G1</f>
        <v>Price/SF</v>
      </c>
      <c r="B9" s="55">
        <f>SSum!G7</f>
        <v>143.69158878504672</v>
      </c>
    </row>
    <row r="10" spans="1:2" ht="15" customHeight="1" x14ac:dyDescent="0.2">
      <c r="A10" s="52" t="str">
        <f>SSum!H1</f>
        <v>Grantor</v>
      </c>
      <c r="B10" s="56" t="str">
        <f>SSum!H7</f>
        <v>Match Properties, LLC</v>
      </c>
    </row>
    <row r="11" spans="1:2" ht="15" customHeight="1" x14ac:dyDescent="0.2">
      <c r="A11" s="52" t="str">
        <f>SSum!I1</f>
        <v>Grantee</v>
      </c>
      <c r="B11" s="56" t="str">
        <f>SSum!I7</f>
        <v>Wilkat, LLC</v>
      </c>
    </row>
    <row r="12" spans="1:2" ht="15" customHeight="1" x14ac:dyDescent="0.2">
      <c r="A12" s="52" t="str">
        <f>SSum!J1</f>
        <v>Property Rights</v>
      </c>
      <c r="B12" s="50" t="str">
        <f>SSum!J7</f>
        <v>Fee Simple</v>
      </c>
    </row>
    <row r="13" spans="1:2" ht="15" customHeight="1" x14ac:dyDescent="0.2">
      <c r="A13" s="57" t="str">
        <f>SSum!K1</f>
        <v>Occupancy ATOS</v>
      </c>
      <c r="B13" s="58" t="str">
        <f>SSum!K7</f>
        <v>Vacant</v>
      </c>
    </row>
    <row r="14" spans="1:2" ht="15" customHeight="1" x14ac:dyDescent="0.2">
      <c r="A14" s="52" t="str">
        <f>SSum!L1</f>
        <v>Verification</v>
      </c>
      <c r="B14" s="50" t="str">
        <f>SSum!L7</f>
        <v>Listing Broker</v>
      </c>
    </row>
    <row r="15" spans="1:2" ht="15" customHeight="1" x14ac:dyDescent="0.2">
      <c r="A15" s="475" t="s">
        <v>34</v>
      </c>
      <c r="B15" s="475"/>
    </row>
    <row r="16" spans="1:2" ht="15" customHeight="1" x14ac:dyDescent="0.2">
      <c r="A16" s="59" t="str">
        <f>SSum!M1</f>
        <v>Gross Building Area (SF)</v>
      </c>
      <c r="B16" s="60">
        <f>SSum!M7</f>
        <v>12840</v>
      </c>
    </row>
    <row r="17" spans="1:2" ht="15" customHeight="1" x14ac:dyDescent="0.2">
      <c r="A17" s="61" t="str">
        <f>SSum!N1</f>
        <v>Year Built</v>
      </c>
      <c r="B17" s="50">
        <f>SSum!N7</f>
        <v>1986</v>
      </c>
    </row>
    <row r="18" spans="1:2" ht="15" customHeight="1" x14ac:dyDescent="0.2">
      <c r="A18" s="59" t="str">
        <f>SSum!O1</f>
        <v>Site Size (SF)</v>
      </c>
      <c r="B18" s="60">
        <f>SSum!O7</f>
        <v>105981</v>
      </c>
    </row>
    <row r="19" spans="1:2" ht="15" customHeight="1" x14ac:dyDescent="0.2">
      <c r="A19" s="59" t="s">
        <v>228</v>
      </c>
      <c r="B19" s="394">
        <f>SSum!P7</f>
        <v>0.1211537917173833</v>
      </c>
    </row>
    <row r="20" spans="1:2" ht="15" customHeight="1" x14ac:dyDescent="0.2">
      <c r="A20" s="59" t="str">
        <f>SSum!R1</f>
        <v>Office Ratio</v>
      </c>
      <c r="B20" s="394">
        <f>SSum!R7</f>
        <v>0.27258566978193144</v>
      </c>
    </row>
    <row r="21" spans="1:2" ht="15" customHeight="1" x14ac:dyDescent="0.2">
      <c r="A21" s="59" t="str">
        <f>SSum!S1</f>
        <v>Quality</v>
      </c>
      <c r="B21" s="62" t="str">
        <f>SSum!S7</f>
        <v>Average</v>
      </c>
    </row>
    <row r="22" spans="1:2" ht="15" customHeight="1" x14ac:dyDescent="0.2">
      <c r="A22" s="59" t="str">
        <f>SSum!T1</f>
        <v>Effective Age/Condition</v>
      </c>
      <c r="B22" s="64">
        <f>SSum!T7</f>
        <v>10</v>
      </c>
    </row>
    <row r="23" spans="1:2" ht="15" customHeight="1" x14ac:dyDescent="0.2">
      <c r="A23" s="59" t="str">
        <f>SSum!V1</f>
        <v>Access</v>
      </c>
      <c r="B23" s="60" t="str">
        <f>SSum!V7</f>
        <v>Good</v>
      </c>
    </row>
    <row r="24" spans="1:2" ht="15" customHeight="1" x14ac:dyDescent="0.2">
      <c r="A24" s="59" t="str">
        <f>SSum!X1</f>
        <v>Parking Ratio</v>
      </c>
      <c r="B24" s="63">
        <f>SSum!X7</f>
        <v>0.77881619937694702</v>
      </c>
    </row>
    <row r="25" spans="1:2" ht="15" customHeight="1" x14ac:dyDescent="0.2">
      <c r="A25" s="61" t="str">
        <f>SSum!Y1</f>
        <v>Building Use</v>
      </c>
      <c r="B25" s="50" t="str">
        <f>SSum!Y7</f>
        <v xml:space="preserve">Industrial  </v>
      </c>
    </row>
    <row r="26" spans="1:2" ht="15" customHeight="1" x14ac:dyDescent="0.2">
      <c r="A26" s="59" t="str">
        <f>SSum!U1</f>
        <v>Eave Height</v>
      </c>
      <c r="B26" s="400">
        <f>SSum!U7</f>
        <v>18</v>
      </c>
    </row>
    <row r="27" spans="1:2" ht="15" customHeight="1" x14ac:dyDescent="0.2">
      <c r="A27" s="61" t="str">
        <f>SSum!Z1</f>
        <v>Loading</v>
      </c>
      <c r="B27" s="50" t="str">
        <f>SSum!Z7</f>
        <v>1 GL/2 DH</v>
      </c>
    </row>
    <row r="28" spans="1:2" ht="15" customHeight="1" x14ac:dyDescent="0.2">
      <c r="A28" s="59" t="str">
        <f>SSum!AA1</f>
        <v>Loading SF</v>
      </c>
      <c r="B28" s="60">
        <f>SSum!AA7</f>
        <v>4280</v>
      </c>
    </row>
    <row r="29" spans="1:2" ht="15" customHeight="1" x14ac:dyDescent="0.2">
      <c r="A29" s="475" t="s">
        <v>22</v>
      </c>
      <c r="B29" s="475"/>
    </row>
    <row r="30" spans="1:2" ht="15" customHeight="1" x14ac:dyDescent="0.2">
      <c r="A30" s="473" t="str">
        <f>SSum!AD7</f>
        <v>The sale of a freestanding industrial building located approximately one mile northwest of the intersection of U.S. Highway 74 and N.C. Highway 51 within the Town of Matthews in Mecklenburg County, North Carolina. The building was constructed in 1986 and features a structural-steel spanning system with a clear height of 18'. The property was on the market for about a month with an asking price of $1,875,000. The building is currently owner-occupied by a foundation repair company dba Cantey Foundation Specialists. First Palmetto Bank financed the deal with a loan in the amount of $1,800,000.</v>
      </c>
      <c r="B30" s="473"/>
    </row>
  </sheetData>
  <mergeCells count="7">
    <mergeCell ref="A30:B30"/>
    <mergeCell ref="A1:B1"/>
    <mergeCell ref="A2:B2"/>
    <mergeCell ref="A3:A4"/>
    <mergeCell ref="A6:B6"/>
    <mergeCell ref="A15:B15"/>
    <mergeCell ref="A29:B2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08F58-776D-4843-8D10-DB73A3A785F7}">
  <sheetPr>
    <tabColor theme="4" tint="-0.499984740745262"/>
  </sheetPr>
  <dimension ref="A1:B30"/>
  <sheetViews>
    <sheetView workbookViewId="0">
      <selection sqref="A1:B30"/>
    </sheetView>
  </sheetViews>
  <sheetFormatPr baseColWidth="10" defaultColWidth="9.1640625" defaultRowHeight="15" customHeight="1" x14ac:dyDescent="0.2"/>
  <cols>
    <col min="1" max="2" width="22.6640625" style="65" customWidth="1"/>
    <col min="3" max="16384" width="9.1640625" style="65"/>
  </cols>
  <sheetData>
    <row r="1" spans="1:2" ht="15" customHeight="1" x14ac:dyDescent="0.2">
      <c r="A1" s="474" t="s">
        <v>36</v>
      </c>
      <c r="B1" s="474" t="e">
        <f>SG!#REF!</f>
        <v>#REF!</v>
      </c>
    </row>
    <row r="2" spans="1:2" ht="15" customHeight="1" x14ac:dyDescent="0.2">
      <c r="A2" s="475" t="s">
        <v>32</v>
      </c>
      <c r="B2" s="475"/>
    </row>
    <row r="3" spans="1:2" ht="15" customHeight="1" x14ac:dyDescent="0.2">
      <c r="A3" s="473" t="str">
        <f>SSum!B1</f>
        <v>Address</v>
      </c>
      <c r="B3" s="51" t="str">
        <f>SSum!B8</f>
        <v>138 Cedar Pointe Dr</v>
      </c>
    </row>
    <row r="4" spans="1:2" ht="15" customHeight="1" x14ac:dyDescent="0.2">
      <c r="A4" s="473"/>
      <c r="B4" s="50" t="str">
        <f>SSum!C8</f>
        <v>Mooresville, NC</v>
      </c>
    </row>
    <row r="5" spans="1:2" ht="15" customHeight="1" x14ac:dyDescent="0.2">
      <c r="A5" s="50" t="str">
        <f>SSum!D1</f>
        <v>Parcel No.(s)</v>
      </c>
      <c r="B5" s="51" t="str">
        <f>SSum!D8</f>
        <v>4648-90-4665.000</v>
      </c>
    </row>
    <row r="6" spans="1:2" ht="15" customHeight="1" x14ac:dyDescent="0.2">
      <c r="A6" s="475" t="s">
        <v>33</v>
      </c>
      <c r="B6" s="475"/>
    </row>
    <row r="7" spans="1:2" ht="15" customHeight="1" x14ac:dyDescent="0.2">
      <c r="A7" s="52" t="str">
        <f>SSum!E1</f>
        <v>Date of Sale</v>
      </c>
      <c r="B7" s="53">
        <f>SSum!E8</f>
        <v>43976</v>
      </c>
    </row>
    <row r="8" spans="1:2" ht="15" customHeight="1" x14ac:dyDescent="0.2">
      <c r="A8" s="52" t="str">
        <f>SSum!F1</f>
        <v>Sale Price</v>
      </c>
      <c r="B8" s="54">
        <f>SSum!F8</f>
        <v>1575000</v>
      </c>
    </row>
    <row r="9" spans="1:2" ht="15" customHeight="1" x14ac:dyDescent="0.2">
      <c r="A9" s="52" t="str">
        <f>SSum!G1</f>
        <v>Price/SF</v>
      </c>
      <c r="B9" s="55">
        <f>SSum!G8</f>
        <v>103.61842105263158</v>
      </c>
    </row>
    <row r="10" spans="1:2" ht="15" customHeight="1" x14ac:dyDescent="0.2">
      <c r="A10" s="52" t="str">
        <f>SSum!H1</f>
        <v>Grantor</v>
      </c>
      <c r="B10" s="56" t="str">
        <f>SSum!H8</f>
        <v>D&amp;G Realty, LLC</v>
      </c>
    </row>
    <row r="11" spans="1:2" ht="15" customHeight="1" x14ac:dyDescent="0.2">
      <c r="A11" s="52" t="str">
        <f>SSum!I1</f>
        <v>Grantee</v>
      </c>
      <c r="B11" s="56" t="str">
        <f>SSum!I8</f>
        <v>138 Cedar Pointe, LLC</v>
      </c>
    </row>
    <row r="12" spans="1:2" ht="15" customHeight="1" x14ac:dyDescent="0.2">
      <c r="A12" s="52" t="str">
        <f>SSum!J1</f>
        <v>Property Rights</v>
      </c>
      <c r="B12" s="50" t="str">
        <f>SSum!J8</f>
        <v>Fee Simple</v>
      </c>
    </row>
    <row r="13" spans="1:2" ht="15" customHeight="1" x14ac:dyDescent="0.2">
      <c r="A13" s="57" t="str">
        <f>SSum!K1</f>
        <v>Occupancy ATOS</v>
      </c>
      <c r="B13" s="58" t="str">
        <f>SSum!K8</f>
        <v>Vacant</v>
      </c>
    </row>
    <row r="14" spans="1:2" ht="15" customHeight="1" x14ac:dyDescent="0.2">
      <c r="A14" s="52" t="str">
        <f>SSum!L1</f>
        <v>Verification</v>
      </c>
      <c r="B14" s="50" t="str">
        <f>SSum!L8</f>
        <v>Listing Broker</v>
      </c>
    </row>
    <row r="15" spans="1:2" ht="15" customHeight="1" x14ac:dyDescent="0.2">
      <c r="A15" s="475" t="s">
        <v>34</v>
      </c>
      <c r="B15" s="475"/>
    </row>
    <row r="16" spans="1:2" ht="15" customHeight="1" x14ac:dyDescent="0.2">
      <c r="A16" s="59" t="str">
        <f>SSum!M1</f>
        <v>Gross Building Area (SF)</v>
      </c>
      <c r="B16" s="60">
        <f>SSum!M8</f>
        <v>15200</v>
      </c>
    </row>
    <row r="17" spans="1:2" ht="15" customHeight="1" x14ac:dyDescent="0.2">
      <c r="A17" s="61" t="str">
        <f>SSum!N1</f>
        <v>Year Built</v>
      </c>
      <c r="B17" s="50">
        <f>SSum!N8</f>
        <v>2001</v>
      </c>
    </row>
    <row r="18" spans="1:2" ht="15" customHeight="1" x14ac:dyDescent="0.2">
      <c r="A18" s="59" t="str">
        <f>SSum!O1</f>
        <v>Site Size (SF)</v>
      </c>
      <c r="B18" s="60">
        <f>SSum!O8</f>
        <v>60113</v>
      </c>
    </row>
    <row r="19" spans="1:2" ht="15" customHeight="1" x14ac:dyDescent="0.2">
      <c r="A19" s="59" t="s">
        <v>228</v>
      </c>
      <c r="B19" s="394">
        <f>SSum!P8</f>
        <v>0.25285711909237601</v>
      </c>
    </row>
    <row r="20" spans="1:2" ht="15" customHeight="1" x14ac:dyDescent="0.2">
      <c r="A20" s="59" t="str">
        <f>SSum!R1</f>
        <v>Office Ratio</v>
      </c>
      <c r="B20" s="394">
        <f>SSum!R8</f>
        <v>0.27631578947368424</v>
      </c>
    </row>
    <row r="21" spans="1:2" ht="15" customHeight="1" x14ac:dyDescent="0.2">
      <c r="A21" s="59" t="str">
        <f>SSum!S1</f>
        <v>Quality</v>
      </c>
      <c r="B21" s="62" t="str">
        <f>SSum!S8</f>
        <v>Average</v>
      </c>
    </row>
    <row r="22" spans="1:2" ht="15" customHeight="1" x14ac:dyDescent="0.2">
      <c r="A22" s="59" t="str">
        <f>SSum!T1</f>
        <v>Effective Age/Condition</v>
      </c>
      <c r="B22" s="64">
        <f>SSum!T8</f>
        <v>10</v>
      </c>
    </row>
    <row r="23" spans="1:2" ht="15" customHeight="1" x14ac:dyDescent="0.2">
      <c r="A23" s="59" t="str">
        <f>SSum!V1</f>
        <v>Access</v>
      </c>
      <c r="B23" s="60" t="str">
        <f>SSum!V8</f>
        <v>Good</v>
      </c>
    </row>
    <row r="24" spans="1:2" ht="15" customHeight="1" x14ac:dyDescent="0.2">
      <c r="A24" s="59" t="str">
        <f>SSum!X1</f>
        <v>Parking Ratio</v>
      </c>
      <c r="B24" s="63">
        <f>SSum!X8</f>
        <v>2.1710526315789473</v>
      </c>
    </row>
    <row r="25" spans="1:2" ht="15" customHeight="1" x14ac:dyDescent="0.2">
      <c r="A25" s="61" t="str">
        <f>SSum!Y1</f>
        <v>Building Use</v>
      </c>
      <c r="B25" s="50" t="str">
        <f>SSum!Y8</f>
        <v xml:space="preserve">Industrial  </v>
      </c>
    </row>
    <row r="26" spans="1:2" ht="15" customHeight="1" x14ac:dyDescent="0.2">
      <c r="A26" s="59" t="str">
        <f>SSum!U1</f>
        <v>Eave Height</v>
      </c>
      <c r="B26" s="400">
        <f>SSum!U8</f>
        <v>18</v>
      </c>
    </row>
    <row r="27" spans="1:2" ht="15" customHeight="1" x14ac:dyDescent="0.2">
      <c r="A27" s="61" t="str">
        <f>SSum!Z1</f>
        <v>Loading</v>
      </c>
      <c r="B27" s="50" t="str">
        <f>SSum!Z8</f>
        <v>3 GL/1 DH</v>
      </c>
    </row>
    <row r="28" spans="1:2" ht="15" customHeight="1" x14ac:dyDescent="0.2">
      <c r="A28" s="59" t="str">
        <f>SSum!AA1</f>
        <v>Loading SF</v>
      </c>
      <c r="B28" s="60">
        <f>SSum!AA8</f>
        <v>3800</v>
      </c>
    </row>
    <row r="29" spans="1:2" ht="15" customHeight="1" x14ac:dyDescent="0.2">
      <c r="A29" s="475" t="s">
        <v>22</v>
      </c>
      <c r="B29" s="475"/>
    </row>
    <row r="30" spans="1:2" ht="15" customHeight="1" x14ac:dyDescent="0.2">
      <c r="A30" s="473" t="str">
        <f>SSum!AD8</f>
        <v xml:space="preserve">The sale of an industrial flex building located on the east side of Cedar Pointe Drive just east of Interstate 77 within the city limits of Mooresville in Iredell County, North Carolina. The property is currently owner-occupied dba Tiger Precision Products. This is believed to be an all-cash sale. </v>
      </c>
      <c r="B30" s="473"/>
    </row>
  </sheetData>
  <mergeCells count="7">
    <mergeCell ref="A30:B30"/>
    <mergeCell ref="A1:B1"/>
    <mergeCell ref="A2:B2"/>
    <mergeCell ref="A3:A4"/>
    <mergeCell ref="A6:B6"/>
    <mergeCell ref="A15:B15"/>
    <mergeCell ref="A29:B2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AADAB-467D-42D7-9891-D04671CED7B6}">
  <sheetPr>
    <tabColor theme="4" tint="-0.499984740745262"/>
  </sheetPr>
  <dimension ref="A1:B30"/>
  <sheetViews>
    <sheetView workbookViewId="0">
      <selection sqref="A1:B30"/>
    </sheetView>
  </sheetViews>
  <sheetFormatPr baseColWidth="10" defaultColWidth="9.1640625" defaultRowHeight="15" customHeight="1" x14ac:dyDescent="0.2"/>
  <cols>
    <col min="1" max="2" width="22.6640625" style="65" customWidth="1"/>
    <col min="3" max="16384" width="9.1640625" style="65"/>
  </cols>
  <sheetData>
    <row r="1" spans="1:2" ht="15" customHeight="1" x14ac:dyDescent="0.2">
      <c r="A1" s="474" t="s">
        <v>37</v>
      </c>
      <c r="B1" s="474" t="e">
        <f>SG!#REF!</f>
        <v>#REF!</v>
      </c>
    </row>
    <row r="2" spans="1:2" ht="15" customHeight="1" x14ac:dyDescent="0.2">
      <c r="A2" s="475" t="s">
        <v>32</v>
      </c>
      <c r="B2" s="475"/>
    </row>
    <row r="3" spans="1:2" ht="15" customHeight="1" x14ac:dyDescent="0.2">
      <c r="A3" s="473" t="str">
        <f>SSum!B1</f>
        <v>Address</v>
      </c>
      <c r="B3" s="51" t="str">
        <f>SSum!B9</f>
        <v>227 Old Hebron St</v>
      </c>
    </row>
    <row r="4" spans="1:2" ht="15" customHeight="1" x14ac:dyDescent="0.2">
      <c r="A4" s="473"/>
      <c r="B4" s="50" t="str">
        <f>SSum!C9</f>
        <v>Charlotte, NC</v>
      </c>
    </row>
    <row r="5" spans="1:2" ht="15" customHeight="1" x14ac:dyDescent="0.2">
      <c r="A5" s="50" t="str">
        <f>SSum!D1</f>
        <v>Parcel No.(s)</v>
      </c>
      <c r="B5" s="51" t="str">
        <f>SSum!D9</f>
        <v>205-171-24</v>
      </c>
    </row>
    <row r="6" spans="1:2" ht="15" customHeight="1" x14ac:dyDescent="0.2">
      <c r="A6" s="475" t="s">
        <v>33</v>
      </c>
      <c r="B6" s="475"/>
    </row>
    <row r="7" spans="1:2" ht="15" customHeight="1" x14ac:dyDescent="0.2">
      <c r="A7" s="52" t="str">
        <f>SSum!E1</f>
        <v>Date of Sale</v>
      </c>
      <c r="B7" s="53">
        <f>SSum!E9</f>
        <v>44119</v>
      </c>
    </row>
    <row r="8" spans="1:2" ht="15" customHeight="1" x14ac:dyDescent="0.2">
      <c r="A8" s="52" t="str">
        <f>SSum!F1</f>
        <v>Sale Price</v>
      </c>
      <c r="B8" s="54">
        <f>SSum!F9</f>
        <v>1725000</v>
      </c>
    </row>
    <row r="9" spans="1:2" ht="15" customHeight="1" x14ac:dyDescent="0.2">
      <c r="A9" s="52" t="str">
        <f>SSum!G1</f>
        <v>Price/SF</v>
      </c>
      <c r="B9" s="55">
        <f>SSum!G9</f>
        <v>134.01180857675575</v>
      </c>
    </row>
    <row r="10" spans="1:2" ht="15" customHeight="1" x14ac:dyDescent="0.2">
      <c r="A10" s="52" t="str">
        <f>SSum!H1</f>
        <v>Grantor</v>
      </c>
      <c r="B10" s="56" t="str">
        <f>SSum!H9</f>
        <v>OHR Properties, LLC</v>
      </c>
    </row>
    <row r="11" spans="1:2" ht="15" customHeight="1" x14ac:dyDescent="0.2">
      <c r="A11" s="52" t="str">
        <f>SSum!I1</f>
        <v>Grantee</v>
      </c>
      <c r="B11" s="56" t="str">
        <f>SSum!I9</f>
        <v>Hop Holdings, LLC</v>
      </c>
    </row>
    <row r="12" spans="1:2" ht="15" customHeight="1" x14ac:dyDescent="0.2">
      <c r="A12" s="52" t="str">
        <f>SSum!J1</f>
        <v>Property Rights</v>
      </c>
      <c r="B12" s="50" t="str">
        <f>SSum!J9</f>
        <v>Fee Simple</v>
      </c>
    </row>
    <row r="13" spans="1:2" ht="15" customHeight="1" x14ac:dyDescent="0.2">
      <c r="A13" s="57" t="str">
        <f>SSum!K1</f>
        <v>Occupancy ATOS</v>
      </c>
      <c r="B13" s="58" t="str">
        <f>SSum!K9</f>
        <v>Vacant</v>
      </c>
    </row>
    <row r="14" spans="1:2" ht="15" customHeight="1" x14ac:dyDescent="0.2">
      <c r="A14" s="52" t="str">
        <f>SSum!L1</f>
        <v>Verification</v>
      </c>
      <c r="B14" s="50" t="str">
        <f>SSum!L9</f>
        <v>Listing Broker</v>
      </c>
    </row>
    <row r="15" spans="1:2" ht="15" customHeight="1" x14ac:dyDescent="0.2">
      <c r="A15" s="475" t="s">
        <v>34</v>
      </c>
      <c r="B15" s="475"/>
    </row>
    <row r="16" spans="1:2" ht="15" customHeight="1" x14ac:dyDescent="0.2">
      <c r="A16" s="59" t="str">
        <f>SSum!M1</f>
        <v>Gross Building Area (SF)</v>
      </c>
      <c r="B16" s="60">
        <f>SSum!M9</f>
        <v>12872</v>
      </c>
    </row>
    <row r="17" spans="1:2" ht="15" customHeight="1" x14ac:dyDescent="0.2">
      <c r="A17" s="61" t="str">
        <f>SSum!N1</f>
        <v>Year Built</v>
      </c>
      <c r="B17" s="50">
        <f>SSum!N9</f>
        <v>1989</v>
      </c>
    </row>
    <row r="18" spans="1:2" ht="15" customHeight="1" x14ac:dyDescent="0.2">
      <c r="A18" s="59" t="str">
        <f>SSum!O1</f>
        <v>Site Size (SF)</v>
      </c>
      <c r="B18" s="60">
        <f>SSum!O9</f>
        <v>87120</v>
      </c>
    </row>
    <row r="19" spans="1:2" ht="15" customHeight="1" x14ac:dyDescent="0.2">
      <c r="A19" s="59" t="s">
        <v>228</v>
      </c>
      <c r="B19" s="394">
        <f>SSum!P9</f>
        <v>0.14775022956841138</v>
      </c>
    </row>
    <row r="20" spans="1:2" ht="15" customHeight="1" x14ac:dyDescent="0.2">
      <c r="A20" s="59" t="str">
        <f>SSum!R1</f>
        <v>Office Ratio</v>
      </c>
      <c r="B20" s="394">
        <f>SSum!R9</f>
        <v>0.30981976382846488</v>
      </c>
    </row>
    <row r="21" spans="1:2" ht="15" customHeight="1" x14ac:dyDescent="0.2">
      <c r="A21" s="59" t="str">
        <f>SSum!S1</f>
        <v>Quality</v>
      </c>
      <c r="B21" s="62" t="str">
        <f>SSum!S9</f>
        <v>Average</v>
      </c>
    </row>
    <row r="22" spans="1:2" ht="15" customHeight="1" x14ac:dyDescent="0.2">
      <c r="A22" s="59" t="str">
        <f>SSum!T1</f>
        <v>Effective Age/Condition</v>
      </c>
      <c r="B22" s="64">
        <f>SSum!T9</f>
        <v>10</v>
      </c>
    </row>
    <row r="23" spans="1:2" ht="15" customHeight="1" x14ac:dyDescent="0.2">
      <c r="A23" s="59" t="str">
        <f>SSum!V1</f>
        <v>Access</v>
      </c>
      <c r="B23" s="60" t="str">
        <f>SSum!V9</f>
        <v>Good</v>
      </c>
    </row>
    <row r="24" spans="1:2" ht="15" customHeight="1" x14ac:dyDescent="0.2">
      <c r="A24" s="59" t="str">
        <f>SSum!X1</f>
        <v>Parking Ratio</v>
      </c>
      <c r="B24" s="63">
        <f>SSum!X9</f>
        <v>1.0876320696084525</v>
      </c>
    </row>
    <row r="25" spans="1:2" ht="15" customHeight="1" x14ac:dyDescent="0.2">
      <c r="A25" s="61" t="str">
        <f>SSum!Y1</f>
        <v>Building Use</v>
      </c>
      <c r="B25" s="50" t="str">
        <f>SSum!Y9</f>
        <v xml:space="preserve">Industrial  </v>
      </c>
    </row>
    <row r="26" spans="1:2" ht="15" customHeight="1" x14ac:dyDescent="0.2">
      <c r="A26" s="59" t="str">
        <f>SSum!U1</f>
        <v>Eave Height</v>
      </c>
      <c r="B26" s="400">
        <f>SSum!U9</f>
        <v>21</v>
      </c>
    </row>
    <row r="27" spans="1:2" ht="15" customHeight="1" x14ac:dyDescent="0.2">
      <c r="A27" s="61" t="str">
        <f>SSum!Z1</f>
        <v>Loading</v>
      </c>
      <c r="B27" s="50" t="str">
        <f>SSum!Z9</f>
        <v>1 GL/2 DH</v>
      </c>
    </row>
    <row r="28" spans="1:2" ht="15" customHeight="1" x14ac:dyDescent="0.2">
      <c r="A28" s="59" t="str">
        <f>SSum!AA1</f>
        <v>Loading SF</v>
      </c>
      <c r="B28" s="60">
        <f>SSum!AA9</f>
        <v>4290.666666666667</v>
      </c>
    </row>
    <row r="29" spans="1:2" ht="15" customHeight="1" x14ac:dyDescent="0.2">
      <c r="A29" s="475" t="s">
        <v>22</v>
      </c>
      <c r="B29" s="475"/>
    </row>
    <row r="30" spans="1:2" ht="15" customHeight="1" x14ac:dyDescent="0.2">
      <c r="A30" s="473" t="str">
        <f>SSum!AD9</f>
        <v xml:space="preserve">The sale of an industrial flex building located on the north side of Old Hebron Road within the city limits of Charlotte in Mecklenburg County, North Carolina. The site slopes downward from the road frontage which provides for terrace-level, climate-controlled storage below the office portion of the building. The property is also improved with a 2,294-sf ancillary industrial building with two grade-level doors. West Town Bank &amp; Trust financed the deal with a loan in the amount of $1,705,200. </v>
      </c>
      <c r="B30" s="473"/>
    </row>
  </sheetData>
  <mergeCells count="7">
    <mergeCell ref="A30:B30"/>
    <mergeCell ref="A1:B1"/>
    <mergeCell ref="A2:B2"/>
    <mergeCell ref="A3:A4"/>
    <mergeCell ref="A6:B6"/>
    <mergeCell ref="A15:B15"/>
    <mergeCell ref="A29:B29"/>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98FC-AA8D-4A93-843E-5A9318D1F6E4}">
  <sheetPr>
    <tabColor theme="4" tint="-0.499984740745262"/>
  </sheetPr>
  <dimension ref="A1:K30"/>
  <sheetViews>
    <sheetView workbookViewId="0">
      <selection activeCell="C9" sqref="C9"/>
    </sheetView>
  </sheetViews>
  <sheetFormatPr baseColWidth="10" defaultColWidth="9.1640625" defaultRowHeight="15" customHeight="1" x14ac:dyDescent="0.2"/>
  <cols>
    <col min="1" max="2" width="22.6640625" style="65" customWidth="1"/>
    <col min="3" max="16384" width="9.1640625" style="65"/>
  </cols>
  <sheetData>
    <row r="1" spans="1:11" ht="15" customHeight="1" x14ac:dyDescent="0.2">
      <c r="A1" s="474" t="s">
        <v>38</v>
      </c>
      <c r="B1" s="474" t="e">
        <f>SG!#REF!</f>
        <v>#REF!</v>
      </c>
    </row>
    <row r="2" spans="1:11" ht="15" customHeight="1" x14ac:dyDescent="0.2">
      <c r="A2" s="475" t="s">
        <v>32</v>
      </c>
      <c r="B2" s="475"/>
    </row>
    <row r="3" spans="1:11" ht="15" customHeight="1" x14ac:dyDescent="0.2">
      <c r="A3" s="473" t="str">
        <f>SSum!B1</f>
        <v>Address</v>
      </c>
      <c r="B3" s="51" t="str">
        <f>SSum!B10</f>
        <v>1020 Forsyth Ave</v>
      </c>
    </row>
    <row r="4" spans="1:11" ht="15" customHeight="1" x14ac:dyDescent="0.2">
      <c r="A4" s="473"/>
      <c r="B4" s="50" t="str">
        <f>SSum!C10</f>
        <v>Indian Trail, NC</v>
      </c>
    </row>
    <row r="5" spans="1:11" ht="15" customHeight="1" x14ac:dyDescent="0.2">
      <c r="A5" s="50" t="str">
        <f>SSum!D1</f>
        <v>Parcel No.(s)</v>
      </c>
      <c r="B5" s="51" t="str">
        <f>SSum!D10</f>
        <v>07-081-303</v>
      </c>
    </row>
    <row r="6" spans="1:11" ht="15" customHeight="1" x14ac:dyDescent="0.2">
      <c r="A6" s="475" t="s">
        <v>33</v>
      </c>
      <c r="B6" s="475"/>
    </row>
    <row r="7" spans="1:11" ht="15" customHeight="1" x14ac:dyDescent="0.2">
      <c r="A7" s="52" t="str">
        <f>SSum!E1</f>
        <v>Date of Sale</v>
      </c>
      <c r="B7" s="53">
        <f>SSum!E10</f>
        <v>43977</v>
      </c>
    </row>
    <row r="8" spans="1:11" ht="15" customHeight="1" x14ac:dyDescent="0.2">
      <c r="A8" s="52" t="str">
        <f>SSum!F1</f>
        <v>Sale Price</v>
      </c>
      <c r="B8" s="54">
        <f>SSum!F10</f>
        <v>1775000</v>
      </c>
      <c r="K8" s="65" t="s">
        <v>39</v>
      </c>
    </row>
    <row r="9" spans="1:11" ht="15" customHeight="1" x14ac:dyDescent="0.2">
      <c r="A9" s="52" t="str">
        <f>SSum!G1</f>
        <v>Price/SF</v>
      </c>
      <c r="B9" s="55">
        <f>SSum!G10</f>
        <v>123.26388888888889</v>
      </c>
    </row>
    <row r="10" spans="1:11" ht="15" customHeight="1" x14ac:dyDescent="0.2">
      <c r="A10" s="52" t="str">
        <f>SSum!H1</f>
        <v>Grantor</v>
      </c>
      <c r="B10" s="56" t="str">
        <f>SSum!H10</f>
        <v>Pierson Enterprises, LLC</v>
      </c>
    </row>
    <row r="11" spans="1:11" ht="15" customHeight="1" x14ac:dyDescent="0.2">
      <c r="A11" s="52" t="str">
        <f>SSum!I1</f>
        <v>Grantee</v>
      </c>
      <c r="B11" s="56" t="str">
        <f>SSum!I10</f>
        <v>Oakway Properties, LLC</v>
      </c>
    </row>
    <row r="12" spans="1:11" ht="15" customHeight="1" x14ac:dyDescent="0.2">
      <c r="A12" s="52" t="str">
        <f>SSum!J1</f>
        <v>Property Rights</v>
      </c>
      <c r="B12" s="50" t="str">
        <f>SSum!J10</f>
        <v>Leased Fee</v>
      </c>
    </row>
    <row r="13" spans="1:11" ht="15" customHeight="1" x14ac:dyDescent="0.2">
      <c r="A13" s="57" t="str">
        <f>SSum!K1</f>
        <v>Occupancy ATOS</v>
      </c>
      <c r="B13" s="58">
        <f>SSum!K10</f>
        <v>0.67</v>
      </c>
    </row>
    <row r="14" spans="1:11" ht="15" customHeight="1" x14ac:dyDescent="0.2">
      <c r="A14" s="52" t="str">
        <f>SSum!L1</f>
        <v>Verification</v>
      </c>
      <c r="B14" s="50" t="str">
        <f>SSum!L10</f>
        <v>Listing Broker</v>
      </c>
    </row>
    <row r="15" spans="1:11" ht="15" customHeight="1" x14ac:dyDescent="0.2">
      <c r="A15" s="475" t="s">
        <v>34</v>
      </c>
      <c r="B15" s="475"/>
    </row>
    <row r="16" spans="1:11" ht="15" customHeight="1" x14ac:dyDescent="0.2">
      <c r="A16" s="59" t="str">
        <f>SSum!M1</f>
        <v>Gross Building Area (SF)</v>
      </c>
      <c r="B16" s="60">
        <f>SSum!M10</f>
        <v>14400</v>
      </c>
    </row>
    <row r="17" spans="1:2" ht="15" customHeight="1" x14ac:dyDescent="0.2">
      <c r="A17" s="61" t="str">
        <f>SSum!N1</f>
        <v>Year Built</v>
      </c>
      <c r="B17" s="50">
        <f>SSum!N10</f>
        <v>2008</v>
      </c>
    </row>
    <row r="18" spans="1:2" ht="15" customHeight="1" x14ac:dyDescent="0.2">
      <c r="A18" s="59" t="str">
        <f>SSum!O1</f>
        <v>Site Size (SF)</v>
      </c>
      <c r="B18" s="60">
        <f>SSum!O10</f>
        <v>100624</v>
      </c>
    </row>
    <row r="19" spans="1:2" ht="15" customHeight="1" x14ac:dyDescent="0.2">
      <c r="A19" s="59" t="s">
        <v>228</v>
      </c>
      <c r="B19" s="394">
        <f>SSum!P10</f>
        <v>0.14310701224359992</v>
      </c>
    </row>
    <row r="20" spans="1:2" ht="15" customHeight="1" x14ac:dyDescent="0.2">
      <c r="A20" s="59" t="str">
        <f>SSum!R1</f>
        <v>Office Ratio</v>
      </c>
      <c r="B20" s="394">
        <f>SSum!R10</f>
        <v>0.49625000000000002</v>
      </c>
    </row>
    <row r="21" spans="1:2" ht="15" customHeight="1" x14ac:dyDescent="0.2">
      <c r="A21" s="59" t="str">
        <f>SSum!S1</f>
        <v>Quality</v>
      </c>
      <c r="B21" s="62" t="str">
        <f>SSum!S10</f>
        <v>Average</v>
      </c>
    </row>
    <row r="22" spans="1:2" ht="15" customHeight="1" x14ac:dyDescent="0.2">
      <c r="A22" s="59" t="str">
        <f>SSum!T1</f>
        <v>Effective Age/Condition</v>
      </c>
      <c r="B22" s="64">
        <f>SSum!T10</f>
        <v>5</v>
      </c>
    </row>
    <row r="23" spans="1:2" ht="15" customHeight="1" x14ac:dyDescent="0.2">
      <c r="A23" s="59" t="str">
        <f>SSum!V1</f>
        <v>Access</v>
      </c>
      <c r="B23" s="60" t="str">
        <f>SSum!V10</f>
        <v>Good</v>
      </c>
    </row>
    <row r="24" spans="1:2" ht="15" customHeight="1" x14ac:dyDescent="0.2">
      <c r="A24" s="59" t="str">
        <f>SSum!X1</f>
        <v>Parking Ratio</v>
      </c>
      <c r="B24" s="63">
        <f>SSum!X10</f>
        <v>1.9444444444444444</v>
      </c>
    </row>
    <row r="25" spans="1:2" ht="15" customHeight="1" x14ac:dyDescent="0.2">
      <c r="A25" s="61" t="str">
        <f>SSum!Y1</f>
        <v>Building Use</v>
      </c>
      <c r="B25" s="50" t="str">
        <f>SSum!Y10</f>
        <v xml:space="preserve">Industrial  </v>
      </c>
    </row>
    <row r="26" spans="1:2" ht="15" customHeight="1" x14ac:dyDescent="0.2">
      <c r="A26" s="59" t="str">
        <f>SSum!U1</f>
        <v>Eave Height</v>
      </c>
      <c r="B26" s="400">
        <f>SSum!U10</f>
        <v>18</v>
      </c>
    </row>
    <row r="27" spans="1:2" ht="15" customHeight="1" x14ac:dyDescent="0.2">
      <c r="A27" s="61" t="str">
        <f>SSum!Z1</f>
        <v>Loading</v>
      </c>
      <c r="B27" s="50" t="str">
        <f>SSum!Z10</f>
        <v>3 GL/2 DH</v>
      </c>
    </row>
    <row r="28" spans="1:2" ht="15" customHeight="1" x14ac:dyDescent="0.2">
      <c r="A28" s="59" t="str">
        <f>SSum!AA1</f>
        <v>Loading SF</v>
      </c>
      <c r="B28" s="60">
        <f>SSum!AA10</f>
        <v>2880</v>
      </c>
    </row>
    <row r="29" spans="1:2" ht="15" customHeight="1" x14ac:dyDescent="0.2">
      <c r="A29" s="475" t="s">
        <v>22</v>
      </c>
      <c r="B29" s="475"/>
    </row>
    <row r="30" spans="1:2" ht="15" customHeight="1" x14ac:dyDescent="0.2">
      <c r="A30" s="473" t="str">
        <f>SSum!AD10</f>
        <v>The sale of a multi-tenant industrial flex building located in Old Hickory Business Park just northeast of East Independence Boulevard within the town limits of Indian Trail in Union County, North Carolina. At the time of sale, two of the three suites were tenant-occupied. South State Bank financed the deal with a seven-year note in the amount of $1,500,000.</v>
      </c>
      <c r="B30" s="473"/>
    </row>
  </sheetData>
  <mergeCells count="7">
    <mergeCell ref="A30:B30"/>
    <mergeCell ref="A1:B1"/>
    <mergeCell ref="A2:B2"/>
    <mergeCell ref="A3:A4"/>
    <mergeCell ref="A6:B6"/>
    <mergeCell ref="A15:B15"/>
    <mergeCell ref="A29:B29"/>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46021-BD2F-4CE2-B968-47000FB38B74}">
  <sheetPr>
    <tabColor theme="4" tint="-0.499984740745262"/>
  </sheetPr>
  <dimension ref="A2:N18"/>
  <sheetViews>
    <sheetView workbookViewId="0">
      <selection activeCell="F9" sqref="F9"/>
    </sheetView>
  </sheetViews>
  <sheetFormatPr baseColWidth="10" defaultColWidth="9.1640625" defaultRowHeight="17" customHeight="1" x14ac:dyDescent="0.2"/>
  <cols>
    <col min="1" max="1" width="9.33203125" style="124" bestFit="1" customWidth="1"/>
    <col min="2" max="2" width="9.1640625" style="124"/>
    <col min="3" max="3" width="9.1640625" style="125"/>
    <col min="4" max="4" width="19.5" style="125" customWidth="1"/>
    <col min="5" max="5" width="25.5" style="125" customWidth="1"/>
    <col min="6" max="6" width="20" style="125" customWidth="1"/>
    <col min="7" max="7" width="24.1640625" style="125" customWidth="1"/>
    <col min="8" max="8" width="9.1640625" style="125"/>
    <col min="9" max="9" width="10.5" style="125" customWidth="1"/>
    <col min="10" max="10" width="18.5" style="125" bestFit="1" customWidth="1"/>
    <col min="11" max="11" width="16.33203125" style="125" bestFit="1" customWidth="1"/>
    <col min="12" max="13" width="15.1640625" style="125" bestFit="1" customWidth="1"/>
    <col min="14" max="14" width="12.6640625" style="125" customWidth="1"/>
    <col min="15" max="16384" width="9.1640625" style="125"/>
  </cols>
  <sheetData>
    <row r="2" spans="1:14" ht="17" customHeight="1" x14ac:dyDescent="0.2">
      <c r="A2" s="124" t="s">
        <v>62</v>
      </c>
    </row>
    <row r="3" spans="1:14" ht="17" customHeight="1" x14ac:dyDescent="0.2">
      <c r="D3" s="406"/>
      <c r="E3" s="406"/>
      <c r="F3" s="406"/>
      <c r="G3" s="406"/>
    </row>
    <row r="4" spans="1:14" ht="17" customHeight="1" x14ac:dyDescent="0.2">
      <c r="A4" s="124" t="s">
        <v>26</v>
      </c>
      <c r="B4" s="145">
        <f>SG!C35</f>
        <v>16268</v>
      </c>
      <c r="D4" s="127"/>
      <c r="E4" s="127" t="s">
        <v>12</v>
      </c>
      <c r="F4" s="127" t="s">
        <v>63</v>
      </c>
      <c r="G4" s="127" t="s">
        <v>64</v>
      </c>
      <c r="I4" s="407" t="s">
        <v>235</v>
      </c>
      <c r="J4" s="408">
        <v>1</v>
      </c>
      <c r="K4" s="408">
        <v>2</v>
      </c>
      <c r="L4" s="408">
        <v>3</v>
      </c>
      <c r="M4" s="408">
        <v>4</v>
      </c>
      <c r="N4" s="408">
        <v>5</v>
      </c>
    </row>
    <row r="5" spans="1:14" ht="17" customHeight="1" x14ac:dyDescent="0.2">
      <c r="A5" s="124" t="s">
        <v>72</v>
      </c>
      <c r="B5" s="146">
        <v>0.05</v>
      </c>
      <c r="D5" s="128" t="s">
        <v>40</v>
      </c>
      <c r="E5" s="129">
        <f>SG!D35</f>
        <v>19614</v>
      </c>
      <c r="F5" s="129">
        <f>ABS(E5-$B$4)</f>
        <v>3346</v>
      </c>
      <c r="G5" s="130">
        <f>B5</f>
        <v>0.05</v>
      </c>
      <c r="I5" s="409" t="s">
        <v>236</v>
      </c>
      <c r="J5" s="410">
        <f>(SG!$C$20-SG!D20)*SG!D16</f>
        <v>-2954.3330464716014</v>
      </c>
      <c r="K5" s="410">
        <f>(SG!$C$20-SG!E20)*SG!E16</f>
        <v>-2545.7610031964587</v>
      </c>
      <c r="L5" s="410">
        <f>(SG!$C$20-SG!F20)*SG!F16</f>
        <v>-3070.3712810425377</v>
      </c>
      <c r="M5" s="410">
        <f>(SG!$C$20-SG!G20)*SG!G16</f>
        <v>-3031.382837472338</v>
      </c>
      <c r="N5" s="410">
        <f>(SG!$C$20-SG!H20)*SG!H16</f>
        <v>-6075.8254241455625</v>
      </c>
    </row>
    <row r="6" spans="1:14" ht="17" customHeight="1" x14ac:dyDescent="0.2">
      <c r="D6" s="131" t="s">
        <v>26</v>
      </c>
      <c r="E6" s="132">
        <f>SG!C35</f>
        <v>16268</v>
      </c>
      <c r="F6" s="132" t="s">
        <v>65</v>
      </c>
      <c r="G6" s="133" t="s">
        <v>65</v>
      </c>
      <c r="I6" s="409" t="s">
        <v>341</v>
      </c>
      <c r="J6" s="411">
        <f>J5*15</f>
        <v>-44314.995697074024</v>
      </c>
      <c r="K6" s="411">
        <f t="shared" ref="K6:N6" si="0">K5*15</f>
        <v>-38186.415047946881</v>
      </c>
      <c r="L6" s="411">
        <f t="shared" si="0"/>
        <v>-46055.569215638068</v>
      </c>
      <c r="M6" s="411">
        <f t="shared" si="0"/>
        <v>-45470.74256208507</v>
      </c>
      <c r="N6" s="411">
        <f t="shared" si="0"/>
        <v>-91137.381362183442</v>
      </c>
    </row>
    <row r="7" spans="1:14" ht="17" customHeight="1" x14ac:dyDescent="0.2">
      <c r="D7" s="128" t="s">
        <v>42</v>
      </c>
      <c r="E7" s="129">
        <f>SG!F35</f>
        <v>15200</v>
      </c>
      <c r="F7" s="129">
        <f>ABS(E7-$B$4)</f>
        <v>1068</v>
      </c>
      <c r="G7" s="130">
        <f>F7/F5*B5*-1</f>
        <v>-1.5959354453078303E-2</v>
      </c>
      <c r="I7" s="412" t="s">
        <v>5</v>
      </c>
      <c r="J7" s="413">
        <f>SG!D8</f>
        <v>2275000</v>
      </c>
      <c r="K7" s="413">
        <f>SG!E8</f>
        <v>1845000</v>
      </c>
      <c r="L7" s="413">
        <f>SG!F8</f>
        <v>1575000</v>
      </c>
      <c r="M7" s="413">
        <f>SG!G8</f>
        <v>1725000</v>
      </c>
      <c r="N7" s="413">
        <f>SG!H8</f>
        <v>1775000</v>
      </c>
    </row>
    <row r="8" spans="1:14" ht="17" customHeight="1" x14ac:dyDescent="0.2">
      <c r="D8" s="128" t="s">
        <v>44</v>
      </c>
      <c r="E8" s="129">
        <f>SG!H35</f>
        <v>14400</v>
      </c>
      <c r="F8" s="129">
        <f>ABS(E8-$B$4)</f>
        <v>1868</v>
      </c>
      <c r="G8" s="130">
        <f>F8/F5*B5*-1</f>
        <v>-2.7913927077106993E-2</v>
      </c>
      <c r="I8" s="414" t="s">
        <v>237</v>
      </c>
      <c r="J8" s="415">
        <f>J6/J7</f>
        <v>-1.9479118987724846E-2</v>
      </c>
      <c r="K8" s="415">
        <f t="shared" ref="K8:M8" si="1">K6/K7</f>
        <v>-2.0697243928426493E-2</v>
      </c>
      <c r="L8" s="415">
        <f t="shared" si="1"/>
        <v>-2.9241631248024171E-2</v>
      </c>
      <c r="M8" s="415">
        <f t="shared" si="1"/>
        <v>-2.6359850760629026E-2</v>
      </c>
      <c r="N8" s="415">
        <f t="shared" ref="N8" si="2">N6/N7</f>
        <v>-5.1345003584328697E-2</v>
      </c>
    </row>
    <row r="9" spans="1:14" ht="17" customHeight="1" x14ac:dyDescent="0.2">
      <c r="D9" s="128" t="s">
        <v>43</v>
      </c>
      <c r="E9" s="129">
        <f>SG!G35</f>
        <v>12872</v>
      </c>
      <c r="F9" s="129">
        <f>ABS(E9-$B$4)</f>
        <v>3396</v>
      </c>
      <c r="G9" s="130">
        <f>F9/F5*B5*-1</f>
        <v>-5.0747160789001794E-2</v>
      </c>
      <c r="I9" s="409"/>
      <c r="J9" s="410"/>
      <c r="K9" s="410"/>
      <c r="L9" s="410"/>
      <c r="M9" s="410"/>
    </row>
    <row r="10" spans="1:14" ht="17" customHeight="1" x14ac:dyDescent="0.2">
      <c r="D10" s="128" t="s">
        <v>41</v>
      </c>
      <c r="E10" s="129">
        <f>SG!E35</f>
        <v>12840</v>
      </c>
      <c r="F10" s="129">
        <f>ABS(E10-$B$4)</f>
        <v>3428</v>
      </c>
      <c r="G10" s="130">
        <f>F10/F5*B5*-1</f>
        <v>-5.1225343693962949E-2</v>
      </c>
      <c r="I10" s="409"/>
      <c r="J10" s="410"/>
      <c r="K10" s="410"/>
      <c r="L10" s="410"/>
      <c r="M10" s="410"/>
    </row>
    <row r="11" spans="1:14" ht="17" customHeight="1" x14ac:dyDescent="0.2">
      <c r="D11" s="128"/>
      <c r="E11" s="129"/>
      <c r="F11" s="129"/>
      <c r="G11" s="130"/>
      <c r="I11" s="409"/>
      <c r="J11" s="410"/>
      <c r="K11" s="410"/>
      <c r="L11" s="410"/>
      <c r="M11" s="410"/>
    </row>
    <row r="12" spans="1:14" ht="17" customHeight="1" x14ac:dyDescent="0.2">
      <c r="D12" s="128"/>
      <c r="E12" s="129"/>
      <c r="F12" s="129"/>
      <c r="G12" s="130"/>
      <c r="I12" s="407" t="s">
        <v>235</v>
      </c>
      <c r="J12" s="408">
        <v>1</v>
      </c>
      <c r="K12" s="408">
        <v>2</v>
      </c>
      <c r="L12" s="408">
        <v>3</v>
      </c>
      <c r="M12" s="408">
        <v>4</v>
      </c>
      <c r="N12" s="408">
        <v>5</v>
      </c>
    </row>
    <row r="13" spans="1:14" ht="17" customHeight="1" x14ac:dyDescent="0.2">
      <c r="D13" s="128"/>
      <c r="E13" s="129"/>
      <c r="F13" s="129"/>
      <c r="G13" s="130"/>
      <c r="I13" s="409" t="s">
        <v>238</v>
      </c>
      <c r="J13" s="410">
        <f>SG!$C$25-SG!D25</f>
        <v>-2</v>
      </c>
      <c r="K13" s="410">
        <f>SG!$C$25-SG!E25</f>
        <v>0</v>
      </c>
      <c r="L13" s="410">
        <f>SG!$C$25-SG!F25</f>
        <v>0</v>
      </c>
      <c r="M13" s="410">
        <f>SG!$C$25-SG!G25</f>
        <v>-3</v>
      </c>
      <c r="N13" s="410">
        <f>SG!$C$25-SG!H25</f>
        <v>0</v>
      </c>
    </row>
    <row r="14" spans="1:14" ht="17" customHeight="1" x14ac:dyDescent="0.2">
      <c r="D14" s="128"/>
      <c r="E14" s="129"/>
      <c r="F14" s="129"/>
      <c r="G14" s="130"/>
      <c r="I14" s="412" t="s">
        <v>260</v>
      </c>
      <c r="J14" s="413">
        <f>0.71*ABS(J13)*SG!D16</f>
        <v>27851.879999999997</v>
      </c>
      <c r="K14" s="413">
        <f>0.71*ABS(K13)*SG!E16</f>
        <v>0</v>
      </c>
      <c r="L14" s="413">
        <f>0.71*ABS(L13)*SG!F16</f>
        <v>0</v>
      </c>
      <c r="M14" s="413">
        <f>0.71*ABS(M13)*SG!G16</f>
        <v>27417.359999999997</v>
      </c>
      <c r="N14" s="413">
        <f>0.71*ABS(N13)*SG!H16</f>
        <v>0</v>
      </c>
    </row>
    <row r="15" spans="1:14" ht="17" customHeight="1" x14ac:dyDescent="0.2">
      <c r="D15" s="128"/>
      <c r="E15" s="129"/>
      <c r="F15" s="129"/>
      <c r="G15" s="130"/>
      <c r="I15" s="414" t="s">
        <v>5</v>
      </c>
      <c r="J15" s="416">
        <f>SG!D8</f>
        <v>2275000</v>
      </c>
      <c r="K15" s="416">
        <f>SG!E8</f>
        <v>1845000</v>
      </c>
      <c r="L15" s="416">
        <f>SG!F8</f>
        <v>1575000</v>
      </c>
      <c r="M15" s="416">
        <f>SG!G8</f>
        <v>1725000</v>
      </c>
      <c r="N15" s="416">
        <f>SG!H8</f>
        <v>1775000</v>
      </c>
    </row>
    <row r="16" spans="1:14" ht="17" customHeight="1" x14ac:dyDescent="0.2">
      <c r="D16" s="406"/>
      <c r="E16" s="406"/>
      <c r="F16" s="406"/>
      <c r="G16" s="406"/>
      <c r="I16" s="414" t="s">
        <v>237</v>
      </c>
      <c r="J16" s="415">
        <f>J14/J15*-1</f>
        <v>-1.2242584615384614E-2</v>
      </c>
      <c r="K16" s="415">
        <f>K14/K15*-1</f>
        <v>0</v>
      </c>
      <c r="L16" s="415">
        <f>L14/L15*-1</f>
        <v>0</v>
      </c>
      <c r="M16" s="415">
        <f>M14/M15*-1</f>
        <v>-1.5894121739130435E-2</v>
      </c>
      <c r="N16" s="415">
        <f t="shared" ref="N16" si="3">N14/N15</f>
        <v>0</v>
      </c>
    </row>
    <row r="17" spans="4:7" ht="17" customHeight="1" x14ac:dyDescent="0.2">
      <c r="D17" s="134"/>
      <c r="E17" s="135"/>
      <c r="F17" s="134"/>
      <c r="G17" s="136"/>
    </row>
    <row r="18" spans="4:7" ht="16.5" customHeight="1" x14ac:dyDescent="0.2">
      <c r="D18" s="134"/>
      <c r="E18" s="135"/>
      <c r="F18" s="134"/>
      <c r="G18" s="136"/>
    </row>
  </sheetData>
  <sortState xmlns:xlrd2="http://schemas.microsoft.com/office/spreadsheetml/2017/richdata2" ref="D5:G10">
    <sortCondition descending="1" ref="E5:E10"/>
  </sortSt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391F6-C0D4-4FE7-8056-4A7B1E65D2F3}">
  <sheetPr>
    <tabColor theme="4" tint="-0.499984740745262"/>
  </sheetPr>
  <dimension ref="A1:L72"/>
  <sheetViews>
    <sheetView workbookViewId="0">
      <selection activeCell="G39" sqref="G39"/>
    </sheetView>
  </sheetViews>
  <sheetFormatPr baseColWidth="10" defaultColWidth="9.1640625" defaultRowHeight="12" x14ac:dyDescent="0.15"/>
  <cols>
    <col min="1" max="1" width="9.1640625" style="72"/>
    <col min="2" max="2" width="23.83203125" style="72" customWidth="1"/>
    <col min="3" max="3" width="20.5" style="47" customWidth="1"/>
    <col min="4" max="4" width="19" style="72" customWidth="1"/>
    <col min="5" max="5" width="17.6640625" style="72" customWidth="1"/>
    <col min="6" max="6" width="18.83203125" style="72" customWidth="1"/>
    <col min="7" max="7" width="23.33203125" style="72" customWidth="1"/>
    <col min="8" max="8" width="17.33203125" style="457" customWidth="1"/>
    <col min="9" max="9" width="9.1640625" style="72"/>
    <col min="10" max="10" width="32.5" style="72" customWidth="1"/>
    <col min="11" max="11" width="26.1640625" style="72" customWidth="1"/>
    <col min="12" max="12" width="30.6640625" style="72" customWidth="1"/>
    <col min="13" max="16384" width="9.1640625" style="72"/>
  </cols>
  <sheetData>
    <row r="1" spans="2:10" s="69" customFormat="1" ht="13" x14ac:dyDescent="0.15">
      <c r="B1" s="66"/>
      <c r="C1" s="67" t="s">
        <v>26</v>
      </c>
      <c r="D1" s="67" t="s">
        <v>40</v>
      </c>
      <c r="E1" s="67" t="s">
        <v>41</v>
      </c>
      <c r="F1" s="67" t="s">
        <v>42</v>
      </c>
      <c r="G1" s="68" t="s">
        <v>43</v>
      </c>
      <c r="H1" s="68" t="s">
        <v>44</v>
      </c>
    </row>
    <row r="2" spans="2:10" s="69" customFormat="1" ht="13" x14ac:dyDescent="0.15">
      <c r="B2" s="70" t="s">
        <v>32</v>
      </c>
      <c r="C2" s="100"/>
      <c r="D2" s="100"/>
      <c r="E2" s="100"/>
      <c r="F2" s="100"/>
      <c r="G2" s="100"/>
      <c r="H2" s="453"/>
    </row>
    <row r="3" spans="2:10" ht="15" x14ac:dyDescent="0.2">
      <c r="B3" s="478" t="s">
        <v>1</v>
      </c>
      <c r="C3" s="73" t="str">
        <f>SSum!B3</f>
        <v>4735 Dwight Evans Rd</v>
      </c>
      <c r="D3" s="73" t="str">
        <f>'S1'!B3</f>
        <v>10725 John Price Rd</v>
      </c>
      <c r="E3" s="73" t="str">
        <f>'S2'!B3</f>
        <v>1508 Industrial Dr</v>
      </c>
      <c r="F3" s="73" t="str">
        <f>'S3'!B3</f>
        <v>138 Cedar Pointe Dr</v>
      </c>
      <c r="G3" s="73" t="str">
        <f>'S4'!B3</f>
        <v>227 Old Hebron St</v>
      </c>
      <c r="H3" s="73" t="str">
        <f>'S5'!B3</f>
        <v>1020 Forsyth Ave</v>
      </c>
      <c r="J3" s="75"/>
    </row>
    <row r="4" spans="2:10" ht="13" x14ac:dyDescent="0.15">
      <c r="B4" s="478"/>
      <c r="C4" s="73" t="str">
        <f>SSum!C3</f>
        <v>Charlotte, NC</v>
      </c>
      <c r="D4" s="73" t="str">
        <f>'S1'!B4</f>
        <v>Charlotte, NC</v>
      </c>
      <c r="E4" s="73" t="str">
        <f>'S2'!B4</f>
        <v>Matthews, NC</v>
      </c>
      <c r="F4" s="73" t="str">
        <f>'S3'!B4</f>
        <v>Mooresville, NC</v>
      </c>
      <c r="G4" s="73" t="str">
        <f>'S4'!B4</f>
        <v>Charlotte, NC</v>
      </c>
      <c r="H4" s="73" t="str">
        <f>'S5'!B4</f>
        <v>Indian Trail, NC</v>
      </c>
    </row>
    <row r="5" spans="2:10" ht="13" x14ac:dyDescent="0.15">
      <c r="B5" s="76" t="s">
        <v>3</v>
      </c>
      <c r="C5" s="77" t="str">
        <f>SSum!D3</f>
        <v>145-301-22</v>
      </c>
      <c r="D5" s="73" t="str">
        <f>'S1'!B5</f>
        <v>201-181-27</v>
      </c>
      <c r="E5" s="73" t="str">
        <f>'S2'!B5</f>
        <v>193-211-07</v>
      </c>
      <c r="F5" s="73" t="str">
        <f>'S3'!B5</f>
        <v>4648-90-4665.000</v>
      </c>
      <c r="G5" s="73" t="str">
        <f>'S4'!B5</f>
        <v>205-171-24</v>
      </c>
      <c r="H5" s="73" t="str">
        <f>'S5'!B5</f>
        <v>07-081-303</v>
      </c>
    </row>
    <row r="6" spans="2:10" s="69" customFormat="1" ht="13" x14ac:dyDescent="0.15">
      <c r="B6" s="70" t="s">
        <v>33</v>
      </c>
      <c r="C6" s="100"/>
      <c r="D6" s="100"/>
      <c r="E6" s="100"/>
      <c r="F6" s="100"/>
      <c r="G6" s="100"/>
      <c r="H6" s="100"/>
    </row>
    <row r="7" spans="2:10" ht="13" x14ac:dyDescent="0.15">
      <c r="B7" s="76" t="s">
        <v>4</v>
      </c>
      <c r="C7" s="74"/>
      <c r="D7" s="78">
        <f>'S1'!B7</f>
        <v>44698</v>
      </c>
      <c r="E7" s="78">
        <f>'S2'!B7</f>
        <v>44547</v>
      </c>
      <c r="F7" s="78">
        <f>'S3'!B7</f>
        <v>43976</v>
      </c>
      <c r="G7" s="78">
        <f>'S4'!B7</f>
        <v>44119</v>
      </c>
      <c r="H7" s="78">
        <f>'S5'!B7</f>
        <v>43977</v>
      </c>
    </row>
    <row r="8" spans="2:10" ht="13" x14ac:dyDescent="0.15">
      <c r="B8" s="76" t="s">
        <v>5</v>
      </c>
      <c r="C8" s="74"/>
      <c r="D8" s="80">
        <f>'S1'!B8</f>
        <v>2275000</v>
      </c>
      <c r="E8" s="80">
        <f>'S2'!B8</f>
        <v>1845000</v>
      </c>
      <c r="F8" s="80">
        <f>'S3'!B8</f>
        <v>1575000</v>
      </c>
      <c r="G8" s="80">
        <f>'S4'!B8</f>
        <v>1725000</v>
      </c>
      <c r="H8" s="80">
        <f>'S5'!B8</f>
        <v>1775000</v>
      </c>
    </row>
    <row r="9" spans="2:10" ht="13" x14ac:dyDescent="0.15">
      <c r="B9" s="76" t="s">
        <v>6</v>
      </c>
      <c r="C9" s="74"/>
      <c r="D9" s="82">
        <f>'S1'!B9</f>
        <v>115.98857958600999</v>
      </c>
      <c r="E9" s="82">
        <f>'S2'!B9</f>
        <v>143.69158878504672</v>
      </c>
      <c r="F9" s="82">
        <f>'S3'!B9</f>
        <v>103.61842105263158</v>
      </c>
      <c r="G9" s="83">
        <f>'S4'!B9</f>
        <v>134.01180857675575</v>
      </c>
      <c r="H9" s="83">
        <f>'S5'!B9</f>
        <v>123.26388888888889</v>
      </c>
    </row>
    <row r="10" spans="2:10" ht="13" x14ac:dyDescent="0.15">
      <c r="B10" s="76" t="s">
        <v>7</v>
      </c>
      <c r="C10" s="74"/>
      <c r="D10" s="78" t="str">
        <f>'S1'!B10</f>
        <v>MSE Center LLC</v>
      </c>
      <c r="E10" s="73" t="str">
        <f>'S2'!B10</f>
        <v>Match Properties, LLC</v>
      </c>
      <c r="F10" s="78" t="str">
        <f>'S3'!B10</f>
        <v>D&amp;G Realty, LLC</v>
      </c>
      <c r="G10" s="78" t="str">
        <f>'S4'!B10</f>
        <v>OHR Properties, LLC</v>
      </c>
      <c r="H10" s="73" t="str">
        <f>'S5'!B10</f>
        <v>Pierson Enterprises, LLC</v>
      </c>
    </row>
    <row r="11" spans="2:10" ht="13" x14ac:dyDescent="0.15">
      <c r="B11" s="76" t="s">
        <v>8</v>
      </c>
      <c r="C11" s="74"/>
      <c r="D11" s="78" t="str">
        <f>'S1'!B11</f>
        <v>Sand Fiddlers Partners, LLC</v>
      </c>
      <c r="E11" s="73" t="str">
        <f>'S2'!B11</f>
        <v>Wilkat, LLC</v>
      </c>
      <c r="F11" s="78" t="str">
        <f>'S3'!B11</f>
        <v>138 Cedar Pointe, LLC</v>
      </c>
      <c r="G11" s="78" t="str">
        <f>'S4'!B11</f>
        <v>Hop Holdings, LLC</v>
      </c>
      <c r="H11" s="78" t="str">
        <f>'S5'!B11</f>
        <v>Oakway Properties, LLC</v>
      </c>
    </row>
    <row r="12" spans="2:10" ht="13" x14ac:dyDescent="0.15">
      <c r="B12" s="76" t="s">
        <v>9</v>
      </c>
      <c r="C12" s="74"/>
      <c r="D12" s="78" t="str">
        <f>'S1'!B12</f>
        <v>Leased Fee</v>
      </c>
      <c r="E12" s="78" t="str">
        <f>'S2'!B12</f>
        <v>Fee Simple</v>
      </c>
      <c r="F12" s="78" t="str">
        <f>'S3'!B12</f>
        <v>Fee Simple</v>
      </c>
      <c r="G12" s="78" t="str">
        <f>'S4'!B12</f>
        <v>Fee Simple</v>
      </c>
      <c r="H12" s="78" t="str">
        <f>'S5'!B12</f>
        <v>Leased Fee</v>
      </c>
    </row>
    <row r="13" spans="2:10" ht="13" x14ac:dyDescent="0.15">
      <c r="B13" s="76" t="s">
        <v>10</v>
      </c>
      <c r="C13" s="74"/>
      <c r="D13" s="84">
        <f>'S1'!B13</f>
        <v>0.5</v>
      </c>
      <c r="E13" s="84" t="str">
        <f>'S2'!B13</f>
        <v>Vacant</v>
      </c>
      <c r="F13" s="84" t="str">
        <f>'S3'!B13</f>
        <v>Vacant</v>
      </c>
      <c r="G13" s="85" t="str">
        <f>'S4'!B13</f>
        <v>Vacant</v>
      </c>
      <c r="H13" s="84">
        <f>'S5'!B13</f>
        <v>0.67</v>
      </c>
    </row>
    <row r="14" spans="2:10" ht="13" x14ac:dyDescent="0.15">
      <c r="B14" s="76" t="s">
        <v>11</v>
      </c>
      <c r="C14" s="74"/>
      <c r="D14" s="78" t="str">
        <f>'S1'!B14</f>
        <v>Listing Broker</v>
      </c>
      <c r="E14" s="78" t="str">
        <f>'S2'!B14</f>
        <v>Listing Broker</v>
      </c>
      <c r="F14" s="78" t="str">
        <f>'S3'!B14</f>
        <v>Listing Broker</v>
      </c>
      <c r="G14" s="78" t="str">
        <f>'S4'!B14</f>
        <v>Listing Broker</v>
      </c>
      <c r="H14" s="78" t="str">
        <f>'S5'!B14</f>
        <v>Listing Broker</v>
      </c>
    </row>
    <row r="15" spans="2:10" s="69" customFormat="1" ht="13" x14ac:dyDescent="0.15">
      <c r="B15" s="70" t="s">
        <v>34</v>
      </c>
      <c r="C15" s="100"/>
      <c r="D15" s="100"/>
      <c r="E15" s="100"/>
      <c r="F15" s="100"/>
      <c r="G15" s="100"/>
      <c r="H15" s="100"/>
    </row>
    <row r="16" spans="2:10" ht="13" x14ac:dyDescent="0.15">
      <c r="B16" s="86" t="str">
        <f>SSum!M1</f>
        <v>Gross Building Area (SF)</v>
      </c>
      <c r="C16" s="87">
        <f>SSum!M3</f>
        <v>16268</v>
      </c>
      <c r="D16" s="87">
        <f>'S1'!B16</f>
        <v>19614</v>
      </c>
      <c r="E16" s="87">
        <f>'S2'!B16</f>
        <v>12840</v>
      </c>
      <c r="F16" s="87">
        <f>'S3'!B16</f>
        <v>15200</v>
      </c>
      <c r="G16" s="87">
        <f>'S4'!B16</f>
        <v>12872</v>
      </c>
      <c r="H16" s="87">
        <f>'S5'!B16</f>
        <v>14400</v>
      </c>
      <c r="J16" s="72" t="s">
        <v>364</v>
      </c>
    </row>
    <row r="17" spans="1:10" ht="13" x14ac:dyDescent="0.15">
      <c r="B17" s="89" t="str">
        <f>SSum!N1</f>
        <v>Year Built</v>
      </c>
      <c r="C17" s="73">
        <f>SSum!N3</f>
        <v>1989</v>
      </c>
      <c r="D17" s="73">
        <f>'S1'!B17</f>
        <v>1988</v>
      </c>
      <c r="E17" s="73">
        <f>'S2'!B17</f>
        <v>1986</v>
      </c>
      <c r="F17" s="73">
        <f>'S3'!B17</f>
        <v>2001</v>
      </c>
      <c r="G17" s="73">
        <f>'S4'!B17</f>
        <v>1989</v>
      </c>
      <c r="H17" s="73">
        <f>'S5'!B17</f>
        <v>2008</v>
      </c>
    </row>
    <row r="18" spans="1:10" ht="13" x14ac:dyDescent="0.15">
      <c r="B18" s="86" t="str">
        <f>SSum!O1</f>
        <v>Site Size (SF)</v>
      </c>
      <c r="C18" s="87">
        <f>SSum!O3</f>
        <v>112820.4</v>
      </c>
      <c r="D18" s="87">
        <f>'S1'!B18</f>
        <v>60984</v>
      </c>
      <c r="E18" s="87">
        <f>'S2'!B18</f>
        <v>105981</v>
      </c>
      <c r="F18" s="87">
        <f>'S3'!B18</f>
        <v>60113</v>
      </c>
      <c r="G18" s="87">
        <f>'S4'!B18</f>
        <v>87120</v>
      </c>
      <c r="H18" s="87">
        <f>'S5'!B18</f>
        <v>100624</v>
      </c>
    </row>
    <row r="19" spans="1:10" s="395" customFormat="1" ht="13" x14ac:dyDescent="0.15">
      <c r="B19" s="396" t="s">
        <v>228</v>
      </c>
      <c r="C19" s="397">
        <f>SSum!P3</f>
        <v>0.51214142123233031</v>
      </c>
      <c r="D19" s="397">
        <f>SSum!P6</f>
        <v>0.32162534435261708</v>
      </c>
      <c r="E19" s="397">
        <f>SSum!P7</f>
        <v>0.1211537917173833</v>
      </c>
      <c r="F19" s="397">
        <f>SSum!P8</f>
        <v>0.25285711909237601</v>
      </c>
      <c r="G19" s="397">
        <f>SSum!P9</f>
        <v>0.14775022956841138</v>
      </c>
      <c r="H19" s="397">
        <f>SSum!P10</f>
        <v>0.14310701224359992</v>
      </c>
    </row>
    <row r="20" spans="1:10" s="395" customFormat="1" ht="13" x14ac:dyDescent="0.15">
      <c r="B20" s="396" t="str">
        <f>SSum!R1</f>
        <v>Office Ratio</v>
      </c>
      <c r="C20" s="397">
        <f>SSum!R3</f>
        <v>7.4317678878780422E-2</v>
      </c>
      <c r="D20" s="397">
        <f>'S1'!B20</f>
        <v>0.22494136841031917</v>
      </c>
      <c r="E20" s="397">
        <f>'S2'!B20</f>
        <v>0.27258566978193144</v>
      </c>
      <c r="F20" s="397">
        <f>'S3'!B20</f>
        <v>0.27631578947368424</v>
      </c>
      <c r="G20" s="397">
        <f>'S4'!B20</f>
        <v>0.30981976382846488</v>
      </c>
      <c r="H20" s="397">
        <f>'S5'!B20</f>
        <v>0.49625000000000002</v>
      </c>
    </row>
    <row r="21" spans="1:10" ht="13" x14ac:dyDescent="0.15">
      <c r="B21" s="86" t="str">
        <f>SSum!S1</f>
        <v>Quality</v>
      </c>
      <c r="C21" s="90" t="str">
        <f>SSum!S3</f>
        <v>Average</v>
      </c>
      <c r="D21" s="90" t="str">
        <f>'S1'!B21</f>
        <v>Average</v>
      </c>
      <c r="E21" s="90" t="str">
        <f>'S2'!B21</f>
        <v>Average</v>
      </c>
      <c r="F21" s="90" t="str">
        <f>'S3'!B21</f>
        <v>Average</v>
      </c>
      <c r="G21" s="90" t="str">
        <f>'S4'!B21</f>
        <v>Average</v>
      </c>
      <c r="H21" s="90" t="str">
        <f>'S5'!B21</f>
        <v>Average</v>
      </c>
    </row>
    <row r="22" spans="1:10" ht="13" x14ac:dyDescent="0.15">
      <c r="B22" s="86" t="str">
        <f>SSum!T1</f>
        <v>Effective Age/Condition</v>
      </c>
      <c r="C22" s="92">
        <f>SSum!T3</f>
        <v>10</v>
      </c>
      <c r="D22" s="92">
        <f>'S1'!B22</f>
        <v>10</v>
      </c>
      <c r="E22" s="93">
        <f>'S2'!B22</f>
        <v>10</v>
      </c>
      <c r="F22" s="93">
        <f>'S3'!B22</f>
        <v>10</v>
      </c>
      <c r="G22" s="92">
        <f>'S4'!B22</f>
        <v>10</v>
      </c>
      <c r="H22" s="92">
        <f>'S5'!B22</f>
        <v>5</v>
      </c>
    </row>
    <row r="23" spans="1:10" ht="13" x14ac:dyDescent="0.15">
      <c r="B23" s="86" t="str">
        <f>SSum!V1</f>
        <v>Access</v>
      </c>
      <c r="C23" s="87" t="str">
        <f>SSum!V3</f>
        <v>Good</v>
      </c>
      <c r="D23" s="87" t="str">
        <f>'S1'!B23</f>
        <v>Good</v>
      </c>
      <c r="E23" s="87" t="str">
        <f>'S2'!B23</f>
        <v>Good</v>
      </c>
      <c r="F23" s="87" t="str">
        <f>'S3'!B23</f>
        <v>Good</v>
      </c>
      <c r="G23" s="87" t="str">
        <f>'S4'!B23</f>
        <v>Good</v>
      </c>
      <c r="H23" s="87" t="str">
        <f>'S5'!B23</f>
        <v>Good</v>
      </c>
    </row>
    <row r="24" spans="1:10" ht="13" x14ac:dyDescent="0.15">
      <c r="B24" s="86" t="str">
        <f>SSum!X1</f>
        <v>Parking Ratio</v>
      </c>
      <c r="C24" s="91">
        <f>SSum!X3</f>
        <v>0.91727241259951542</v>
      </c>
      <c r="D24" s="91">
        <f>'S1'!B24</f>
        <v>1.4785357397777097</v>
      </c>
      <c r="E24" s="91">
        <f>'S2'!B24</f>
        <v>0.77881619937694702</v>
      </c>
      <c r="F24" s="91">
        <f>'S3'!B24</f>
        <v>2.1710526315789473</v>
      </c>
      <c r="G24" s="91">
        <f>'S4'!B24</f>
        <v>1.0876320696084525</v>
      </c>
      <c r="H24" s="91">
        <f>'S5'!B24</f>
        <v>1.9444444444444444</v>
      </c>
    </row>
    <row r="25" spans="1:10" s="405" customFormat="1" ht="13" x14ac:dyDescent="0.15">
      <c r="A25" s="401"/>
      <c r="B25" s="402" t="str">
        <f>SSum!U1</f>
        <v>Eave Height</v>
      </c>
      <c r="C25" s="403">
        <f>SSum!U3</f>
        <v>18</v>
      </c>
      <c r="D25" s="403">
        <f>'S1'!B26</f>
        <v>20</v>
      </c>
      <c r="E25" s="403">
        <f>'S2'!B26</f>
        <v>18</v>
      </c>
      <c r="F25" s="403">
        <f>'S3'!B26</f>
        <v>18</v>
      </c>
      <c r="G25" s="403">
        <f>'S4'!B26</f>
        <v>21</v>
      </c>
      <c r="H25" s="403">
        <f>'S5'!B26</f>
        <v>18</v>
      </c>
    </row>
    <row r="26" spans="1:10" ht="13" x14ac:dyDescent="0.15">
      <c r="B26" s="89" t="str">
        <f>SSum!Z1</f>
        <v>Loading</v>
      </c>
      <c r="C26" s="87" t="str">
        <f>SSum!Z3</f>
        <v>0 GL/3 DH</v>
      </c>
      <c r="D26" s="87" t="str">
        <f>'S1'!B27</f>
        <v>1 GL/3 DH</v>
      </c>
      <c r="E26" s="87" t="str">
        <f>'S2'!B27</f>
        <v>1 GL/2 DH</v>
      </c>
      <c r="F26" s="87" t="str">
        <f>'S3'!B27</f>
        <v>3 GL/1 DH</v>
      </c>
      <c r="G26" s="87" t="str">
        <f>'S4'!B27</f>
        <v>1 GL/2 DH</v>
      </c>
      <c r="H26" s="87" t="str">
        <f>'S5'!B27</f>
        <v>3 GL/2 DH</v>
      </c>
    </row>
    <row r="27" spans="1:10" ht="13" x14ac:dyDescent="0.15">
      <c r="B27" s="86" t="str">
        <f>SSum!AA1</f>
        <v>Loading SF</v>
      </c>
      <c r="C27" s="87">
        <f>SSum!AA3</f>
        <v>5422.666666666667</v>
      </c>
      <c r="D27" s="87">
        <f>SSum!AA6</f>
        <v>4903.5</v>
      </c>
      <c r="E27" s="87">
        <f>SSum!AA7</f>
        <v>4280</v>
      </c>
      <c r="F27" s="87">
        <f>SSum!AA8</f>
        <v>3800</v>
      </c>
      <c r="G27" s="87">
        <f>SSum!AA9</f>
        <v>4290.666666666667</v>
      </c>
      <c r="H27" s="87">
        <f>SSum!AA10</f>
        <v>2880</v>
      </c>
    </row>
    <row r="28" spans="1:10" ht="13" x14ac:dyDescent="0.15">
      <c r="B28" s="89" t="str">
        <f>SSum!AB1</f>
        <v>Other</v>
      </c>
      <c r="C28" s="87" t="str">
        <f>SSum!AB3</f>
        <v>None</v>
      </c>
      <c r="D28" s="87" t="str">
        <f>SSum!$AB6</f>
        <v>None</v>
      </c>
      <c r="E28" s="87" t="str">
        <f>SSum!$AB7</f>
        <v>None</v>
      </c>
      <c r="F28" s="87" t="str">
        <f>SSum!$AB8</f>
        <v>None</v>
      </c>
      <c r="G28" s="87" t="str">
        <f>SSum!$AB9</f>
        <v>Ancillary Bldg.</v>
      </c>
      <c r="H28" s="87" t="str">
        <f>SSum!$AB10</f>
        <v>None</v>
      </c>
    </row>
    <row r="29" spans="1:10" x14ac:dyDescent="0.15">
      <c r="B29" s="89"/>
      <c r="C29" s="87"/>
      <c r="D29" s="87"/>
      <c r="E29" s="87"/>
      <c r="F29" s="87"/>
      <c r="G29" s="87"/>
      <c r="H29" s="87"/>
    </row>
    <row r="30" spans="1:10" s="94" customFormat="1" x14ac:dyDescent="0.15">
      <c r="C30" s="97"/>
      <c r="D30" s="98"/>
      <c r="E30" s="98"/>
      <c r="F30" s="98"/>
      <c r="G30" s="98"/>
      <c r="H30" s="454"/>
    </row>
    <row r="31" spans="1:10" s="69" customFormat="1" ht="13" x14ac:dyDescent="0.15">
      <c r="B31" s="99"/>
      <c r="C31" s="100" t="s">
        <v>26</v>
      </c>
      <c r="D31" s="100" t="str">
        <f t="shared" ref="D31:H31" si="0">D1</f>
        <v>Sale 1</v>
      </c>
      <c r="E31" s="100" t="str">
        <f t="shared" si="0"/>
        <v>Sale 2</v>
      </c>
      <c r="F31" s="100" t="str">
        <f t="shared" si="0"/>
        <v>Sale 3</v>
      </c>
      <c r="G31" s="100" t="str">
        <f t="shared" si="0"/>
        <v>Sale 4</v>
      </c>
      <c r="H31" s="100" t="str">
        <f t="shared" si="0"/>
        <v>Sale 5</v>
      </c>
    </row>
    <row r="32" spans="1:10" ht="15" x14ac:dyDescent="0.2">
      <c r="B32" s="479" t="s">
        <v>1</v>
      </c>
      <c r="C32" s="74" t="str">
        <f t="shared" ref="C32:H33" si="1">C3</f>
        <v>4735 Dwight Evans Rd</v>
      </c>
      <c r="D32" s="74" t="str">
        <f t="shared" si="1"/>
        <v>10725 John Price Rd</v>
      </c>
      <c r="E32" s="74" t="str">
        <f t="shared" si="1"/>
        <v>1508 Industrial Dr</v>
      </c>
      <c r="F32" s="74" t="str">
        <f t="shared" si="1"/>
        <v>138 Cedar Pointe Dr</v>
      </c>
      <c r="G32" s="74" t="str">
        <f t="shared" si="1"/>
        <v>227 Old Hebron St</v>
      </c>
      <c r="H32" s="73" t="str">
        <f t="shared" si="1"/>
        <v>1020 Forsyth Ave</v>
      </c>
      <c r="J32" s="101"/>
    </row>
    <row r="33" spans="2:8" ht="13" x14ac:dyDescent="0.15">
      <c r="B33" s="479"/>
      <c r="C33" s="74" t="str">
        <f t="shared" si="1"/>
        <v>Charlotte, NC</v>
      </c>
      <c r="D33" s="74" t="str">
        <f t="shared" si="1"/>
        <v>Charlotte, NC</v>
      </c>
      <c r="E33" s="74" t="str">
        <f t="shared" si="1"/>
        <v>Matthews, NC</v>
      </c>
      <c r="F33" s="74" t="str">
        <f t="shared" si="1"/>
        <v>Mooresville, NC</v>
      </c>
      <c r="G33" s="74" t="str">
        <f t="shared" si="1"/>
        <v>Charlotte, NC</v>
      </c>
      <c r="H33" s="73" t="str">
        <f t="shared" si="1"/>
        <v>Indian Trail, NC</v>
      </c>
    </row>
    <row r="34" spans="2:8" s="102" customFormat="1" ht="13" x14ac:dyDescent="0.15">
      <c r="B34" s="103" t="s">
        <v>5</v>
      </c>
      <c r="C34" s="81"/>
      <c r="D34" s="81">
        <f t="shared" ref="D34:H34" si="2">D8</f>
        <v>2275000</v>
      </c>
      <c r="E34" s="81">
        <f t="shared" si="2"/>
        <v>1845000</v>
      </c>
      <c r="F34" s="81">
        <f t="shared" si="2"/>
        <v>1575000</v>
      </c>
      <c r="G34" s="81">
        <f t="shared" si="2"/>
        <v>1725000</v>
      </c>
      <c r="H34" s="80">
        <f t="shared" si="2"/>
        <v>1775000</v>
      </c>
    </row>
    <row r="35" spans="2:8" ht="13" x14ac:dyDescent="0.15">
      <c r="B35" s="104" t="s">
        <v>12</v>
      </c>
      <c r="C35" s="88">
        <f t="shared" ref="C35:H35" si="3">C16</f>
        <v>16268</v>
      </c>
      <c r="D35" s="88">
        <f t="shared" si="3"/>
        <v>19614</v>
      </c>
      <c r="E35" s="88">
        <f t="shared" si="3"/>
        <v>12840</v>
      </c>
      <c r="F35" s="88">
        <f t="shared" si="3"/>
        <v>15200</v>
      </c>
      <c r="G35" s="88">
        <f t="shared" si="3"/>
        <v>12872</v>
      </c>
      <c r="H35" s="87">
        <f t="shared" si="3"/>
        <v>14400</v>
      </c>
    </row>
    <row r="36" spans="2:8" s="102" customFormat="1" ht="13" x14ac:dyDescent="0.15">
      <c r="B36" s="103" t="s">
        <v>6</v>
      </c>
      <c r="C36" s="81"/>
      <c r="D36" s="105">
        <f t="shared" ref="D36:H36" si="4">D9</f>
        <v>115.98857958600999</v>
      </c>
      <c r="E36" s="105">
        <f t="shared" si="4"/>
        <v>143.69158878504672</v>
      </c>
      <c r="F36" s="105">
        <f t="shared" si="4"/>
        <v>103.61842105263158</v>
      </c>
      <c r="G36" s="105">
        <f t="shared" si="4"/>
        <v>134.01180857675575</v>
      </c>
      <c r="H36" s="82">
        <f t="shared" si="4"/>
        <v>123.26388888888889</v>
      </c>
    </row>
    <row r="37" spans="2:8" s="69" customFormat="1" ht="13" x14ac:dyDescent="0.15">
      <c r="B37" s="99" t="s">
        <v>45</v>
      </c>
      <c r="C37" s="100"/>
      <c r="D37" s="100"/>
      <c r="E37" s="100"/>
      <c r="F37" s="100"/>
      <c r="G37" s="100"/>
      <c r="H37" s="100"/>
    </row>
    <row r="38" spans="2:8" ht="13" x14ac:dyDescent="0.15">
      <c r="B38" s="104" t="s">
        <v>9</v>
      </c>
      <c r="C38" s="74"/>
      <c r="D38" s="74" t="str">
        <f t="shared" ref="D38:H38" si="5">D12</f>
        <v>Leased Fee</v>
      </c>
      <c r="E38" s="74" t="str">
        <f t="shared" si="5"/>
        <v>Fee Simple</v>
      </c>
      <c r="F38" s="74" t="str">
        <f t="shared" si="5"/>
        <v>Fee Simple</v>
      </c>
      <c r="G38" s="74" t="str">
        <f t="shared" si="5"/>
        <v>Fee Simple</v>
      </c>
      <c r="H38" s="73" t="str">
        <f t="shared" si="5"/>
        <v>Leased Fee</v>
      </c>
    </row>
    <row r="39" spans="2:8" s="108" customFormat="1" ht="13" x14ac:dyDescent="0.15">
      <c r="B39" s="106" t="s">
        <v>46</v>
      </c>
      <c r="C39" s="107"/>
      <c r="D39" s="445">
        <v>0</v>
      </c>
      <c r="E39" s="107">
        <v>0</v>
      </c>
      <c r="F39" s="107">
        <v>0</v>
      </c>
      <c r="G39" s="107">
        <v>0</v>
      </c>
      <c r="H39" s="455">
        <v>0</v>
      </c>
    </row>
    <row r="40" spans="2:8" s="102" customFormat="1" ht="13" x14ac:dyDescent="0.15">
      <c r="B40" s="103" t="s">
        <v>47</v>
      </c>
      <c r="C40" s="81"/>
      <c r="D40" s="105">
        <f t="shared" ref="D40:H40" si="6">IF(D39&lt;&gt;0,(D36*(1+D39)),(D36))</f>
        <v>115.98857958600999</v>
      </c>
      <c r="E40" s="105">
        <f t="shared" si="6"/>
        <v>143.69158878504672</v>
      </c>
      <c r="F40" s="105">
        <f t="shared" si="6"/>
        <v>103.61842105263158</v>
      </c>
      <c r="G40" s="105">
        <f t="shared" si="6"/>
        <v>134.01180857675575</v>
      </c>
      <c r="H40" s="82">
        <f t="shared" si="6"/>
        <v>123.26388888888889</v>
      </c>
    </row>
    <row r="41" spans="2:8" ht="13" x14ac:dyDescent="0.15">
      <c r="B41" s="104" t="s">
        <v>48</v>
      </c>
      <c r="C41" s="74"/>
      <c r="D41" s="74" t="s">
        <v>49</v>
      </c>
      <c r="E41" s="74" t="s">
        <v>49</v>
      </c>
      <c r="F41" s="74" t="s">
        <v>49</v>
      </c>
      <c r="G41" s="74" t="s">
        <v>49</v>
      </c>
      <c r="H41" s="73" t="s">
        <v>49</v>
      </c>
    </row>
    <row r="42" spans="2:8" s="108" customFormat="1" ht="13" x14ac:dyDescent="0.15">
      <c r="B42" s="106" t="s">
        <v>46</v>
      </c>
      <c r="C42" s="107"/>
      <c r="D42" s="107">
        <v>0</v>
      </c>
      <c r="E42" s="107">
        <v>0</v>
      </c>
      <c r="F42" s="107">
        <v>0</v>
      </c>
      <c r="G42" s="107">
        <v>0</v>
      </c>
      <c r="H42" s="455">
        <v>0</v>
      </c>
    </row>
    <row r="43" spans="2:8" s="102" customFormat="1" ht="13" x14ac:dyDescent="0.15">
      <c r="B43" s="103" t="s">
        <v>47</v>
      </c>
      <c r="C43" s="81"/>
      <c r="D43" s="105">
        <f t="shared" ref="D43:H43" si="7">IF(D42&lt;&gt;0,(D40*(1+D42)),D40)</f>
        <v>115.98857958600999</v>
      </c>
      <c r="E43" s="105">
        <f t="shared" si="7"/>
        <v>143.69158878504672</v>
      </c>
      <c r="F43" s="105">
        <f t="shared" si="7"/>
        <v>103.61842105263158</v>
      </c>
      <c r="G43" s="105">
        <f t="shared" si="7"/>
        <v>134.01180857675575</v>
      </c>
      <c r="H43" s="82">
        <f t="shared" si="7"/>
        <v>123.26388888888889</v>
      </c>
    </row>
    <row r="44" spans="2:8" ht="13" x14ac:dyDescent="0.15">
      <c r="B44" s="104" t="s">
        <v>50</v>
      </c>
      <c r="C44" s="74"/>
      <c r="D44" s="79" t="s">
        <v>28</v>
      </c>
      <c r="E44" s="74" t="s">
        <v>28</v>
      </c>
      <c r="F44" s="74" t="s">
        <v>28</v>
      </c>
      <c r="G44" s="74" t="s">
        <v>28</v>
      </c>
      <c r="H44" s="73" t="s">
        <v>28</v>
      </c>
    </row>
    <row r="45" spans="2:8" s="108" customFormat="1" ht="13" x14ac:dyDescent="0.15">
      <c r="B45" s="106" t="s">
        <v>46</v>
      </c>
      <c r="C45" s="107"/>
      <c r="D45" s="107">
        <v>0</v>
      </c>
      <c r="E45" s="107">
        <v>0</v>
      </c>
      <c r="F45" s="107">
        <v>0</v>
      </c>
      <c r="G45" s="107">
        <v>0</v>
      </c>
      <c r="H45" s="455">
        <v>0</v>
      </c>
    </row>
    <row r="46" spans="2:8" s="102" customFormat="1" ht="13" x14ac:dyDescent="0.15">
      <c r="B46" s="103" t="s">
        <v>47</v>
      </c>
      <c r="C46" s="81"/>
      <c r="D46" s="105">
        <f t="shared" ref="D46:H46" si="8">IF(D45&lt;&gt;0,(D43*(1+D45)),D43)</f>
        <v>115.98857958600999</v>
      </c>
      <c r="E46" s="105">
        <f t="shared" si="8"/>
        <v>143.69158878504672</v>
      </c>
      <c r="F46" s="105">
        <f t="shared" si="8"/>
        <v>103.61842105263158</v>
      </c>
      <c r="G46" s="105">
        <f t="shared" si="8"/>
        <v>134.01180857675575</v>
      </c>
      <c r="H46" s="82">
        <f t="shared" si="8"/>
        <v>123.26388888888889</v>
      </c>
    </row>
    <row r="47" spans="2:8" ht="13" x14ac:dyDescent="0.15">
      <c r="B47" s="104" t="s">
        <v>51</v>
      </c>
      <c r="C47" s="74"/>
      <c r="D47" s="109">
        <f t="shared" ref="D47:H47" si="9">D7</f>
        <v>44698</v>
      </c>
      <c r="E47" s="109">
        <f t="shared" si="9"/>
        <v>44547</v>
      </c>
      <c r="F47" s="109">
        <f t="shared" si="9"/>
        <v>43976</v>
      </c>
      <c r="G47" s="109">
        <f t="shared" si="9"/>
        <v>44119</v>
      </c>
      <c r="H47" s="228">
        <f t="shared" si="9"/>
        <v>43977</v>
      </c>
    </row>
    <row r="48" spans="2:8" s="108" customFormat="1" ht="13" x14ac:dyDescent="0.15">
      <c r="B48" s="106" t="s">
        <v>46</v>
      </c>
      <c r="C48" s="107"/>
      <c r="D48" s="107">
        <f>0.33*0.01</f>
        <v>3.3000000000000004E-3</v>
      </c>
      <c r="E48" s="107">
        <f>1.67*0.01</f>
        <v>1.67E-2</v>
      </c>
      <c r="F48" s="107">
        <f>8.33*0.01</f>
        <v>8.3299999999999999E-2</v>
      </c>
      <c r="G48" s="107">
        <f>6.67*0.01</f>
        <v>6.6699999999999995E-2</v>
      </c>
      <c r="H48" s="455">
        <f>8.33*0.01</f>
        <v>8.3299999999999999E-2</v>
      </c>
    </row>
    <row r="49" spans="2:8" s="102" customFormat="1" ht="13" x14ac:dyDescent="0.15">
      <c r="B49" s="103" t="s">
        <v>47</v>
      </c>
      <c r="C49" s="81"/>
      <c r="D49" s="105">
        <f t="shared" ref="D49:H49" si="10">IF(D48&lt;&gt;0,D46*(1+D48),D46)</f>
        <v>116.37134189864383</v>
      </c>
      <c r="E49" s="105">
        <f t="shared" si="10"/>
        <v>146.09123831775699</v>
      </c>
      <c r="F49" s="105">
        <f t="shared" si="10"/>
        <v>112.24983552631578</v>
      </c>
      <c r="G49" s="105">
        <f t="shared" si="10"/>
        <v>142.95039620882537</v>
      </c>
      <c r="H49" s="82">
        <f t="shared" si="10"/>
        <v>133.53177083333333</v>
      </c>
    </row>
    <row r="50" spans="2:8" s="69" customFormat="1" ht="13" x14ac:dyDescent="0.15">
      <c r="B50" s="99" t="s">
        <v>52</v>
      </c>
      <c r="C50" s="374"/>
      <c r="D50" s="374"/>
      <c r="E50" s="374"/>
      <c r="F50" s="374"/>
      <c r="G50" s="374"/>
      <c r="H50" s="374"/>
    </row>
    <row r="51" spans="2:8" ht="13" x14ac:dyDescent="0.15">
      <c r="B51" s="104" t="s">
        <v>53</v>
      </c>
      <c r="C51" s="74"/>
      <c r="D51" s="111">
        <v>0.05</v>
      </c>
      <c r="E51" s="111">
        <v>0</v>
      </c>
      <c r="F51" s="111">
        <v>0.1</v>
      </c>
      <c r="G51" s="111">
        <v>-0.1</v>
      </c>
      <c r="H51" s="397">
        <v>0.05</v>
      </c>
    </row>
    <row r="52" spans="2:8" ht="13" x14ac:dyDescent="0.15">
      <c r="B52" s="104" t="str">
        <f>B16</f>
        <v>Gross Building Area (SF)</v>
      </c>
      <c r="C52" s="88">
        <f>C16</f>
        <v>16268</v>
      </c>
      <c r="D52" s="111">
        <v>0.05</v>
      </c>
      <c r="E52" s="111">
        <v>-0.05</v>
      </c>
      <c r="F52" s="111">
        <v>-0.02</v>
      </c>
      <c r="G52" s="111">
        <v>-0.05</v>
      </c>
      <c r="H52" s="397">
        <v>-0.03</v>
      </c>
    </row>
    <row r="53" spans="2:8" x14ac:dyDescent="0.15">
      <c r="B53" s="398" t="str">
        <f t="shared" ref="B53:C60" si="11">B19</f>
        <v>Coverage Ratio</v>
      </c>
      <c r="C53" s="399">
        <f t="shared" si="11"/>
        <v>0.51214142123233031</v>
      </c>
      <c r="D53" s="111">
        <v>0</v>
      </c>
      <c r="E53" s="111">
        <v>-0.02</v>
      </c>
      <c r="F53" s="111">
        <v>0</v>
      </c>
      <c r="G53" s="111">
        <v>0</v>
      </c>
      <c r="H53" s="397">
        <v>0</v>
      </c>
    </row>
    <row r="54" spans="2:8" x14ac:dyDescent="0.15">
      <c r="B54" s="398" t="str">
        <f t="shared" si="11"/>
        <v>Office Ratio</v>
      </c>
      <c r="C54" s="399">
        <f t="shared" si="11"/>
        <v>7.4317678878780422E-2</v>
      </c>
      <c r="D54" s="111">
        <v>-0.02</v>
      </c>
      <c r="E54" s="111">
        <v>-0.02</v>
      </c>
      <c r="F54" s="111">
        <v>-0.03</v>
      </c>
      <c r="G54" s="111">
        <v>-0.03</v>
      </c>
      <c r="H54" s="397">
        <v>-0.05</v>
      </c>
    </row>
    <row r="55" spans="2:8" ht="13" x14ac:dyDescent="0.15">
      <c r="B55" s="104" t="str">
        <f t="shared" si="11"/>
        <v>Quality</v>
      </c>
      <c r="C55" s="445" t="str">
        <f t="shared" si="11"/>
        <v>Average</v>
      </c>
      <c r="D55" s="111">
        <v>0</v>
      </c>
      <c r="E55" s="111">
        <v>0</v>
      </c>
      <c r="F55" s="111">
        <v>0</v>
      </c>
      <c r="G55" s="111">
        <v>0</v>
      </c>
      <c r="H55" s="397">
        <v>0</v>
      </c>
    </row>
    <row r="56" spans="2:8" ht="13" x14ac:dyDescent="0.15">
      <c r="B56" s="104" t="str">
        <f t="shared" si="11"/>
        <v>Effective Age/Condition</v>
      </c>
      <c r="C56" s="459">
        <f t="shared" si="11"/>
        <v>10</v>
      </c>
      <c r="D56" s="111">
        <v>0</v>
      </c>
      <c r="E56" s="111">
        <v>0</v>
      </c>
      <c r="F56" s="111">
        <v>0</v>
      </c>
      <c r="G56" s="111">
        <v>0</v>
      </c>
      <c r="H56" s="397">
        <v>-0.05</v>
      </c>
    </row>
    <row r="57" spans="2:8" ht="13" x14ac:dyDescent="0.15">
      <c r="B57" s="104" t="str">
        <f t="shared" si="11"/>
        <v>Access</v>
      </c>
      <c r="C57" s="445" t="str">
        <f t="shared" si="11"/>
        <v>Good</v>
      </c>
      <c r="D57" s="111">
        <v>0</v>
      </c>
      <c r="E57" s="111">
        <v>0</v>
      </c>
      <c r="F57" s="111">
        <v>0</v>
      </c>
      <c r="G57" s="111">
        <v>0</v>
      </c>
      <c r="H57" s="397">
        <v>0</v>
      </c>
    </row>
    <row r="58" spans="2:8" ht="13" x14ac:dyDescent="0.15">
      <c r="B58" s="112" t="str">
        <f t="shared" si="11"/>
        <v>Parking Ratio</v>
      </c>
      <c r="C58" s="113">
        <f t="shared" si="11"/>
        <v>0.91727241259951542</v>
      </c>
      <c r="D58" s="111">
        <v>0</v>
      </c>
      <c r="E58" s="111">
        <v>0</v>
      </c>
      <c r="F58" s="111">
        <v>0</v>
      </c>
      <c r="G58" s="111">
        <v>0</v>
      </c>
      <c r="H58" s="397">
        <v>0</v>
      </c>
    </row>
    <row r="59" spans="2:8" ht="13" x14ac:dyDescent="0.15">
      <c r="B59" s="104" t="str">
        <f t="shared" si="11"/>
        <v>Eave Height</v>
      </c>
      <c r="C59" s="404">
        <f t="shared" si="11"/>
        <v>18</v>
      </c>
      <c r="D59" s="111">
        <v>-0.01</v>
      </c>
      <c r="E59" s="111">
        <v>0</v>
      </c>
      <c r="F59" s="111">
        <v>0</v>
      </c>
      <c r="G59" s="111">
        <v>-0.02</v>
      </c>
      <c r="H59" s="397">
        <v>0</v>
      </c>
    </row>
    <row r="60" spans="2:8" ht="13" x14ac:dyDescent="0.15">
      <c r="B60" s="104" t="str">
        <f t="shared" si="11"/>
        <v>Loading</v>
      </c>
      <c r="C60" s="74" t="str">
        <f t="shared" si="11"/>
        <v>0 GL/3 DH</v>
      </c>
      <c r="D60" s="111">
        <v>0</v>
      </c>
      <c r="E60" s="111">
        <v>0</v>
      </c>
      <c r="F60" s="111">
        <v>0</v>
      </c>
      <c r="G60" s="111">
        <v>0</v>
      </c>
      <c r="H60" s="397">
        <v>-0.02</v>
      </c>
    </row>
    <row r="61" spans="2:8" ht="13" x14ac:dyDescent="0.15">
      <c r="B61" s="104" t="s">
        <v>20</v>
      </c>
      <c r="C61" s="88" t="str">
        <f>C28</f>
        <v>None</v>
      </c>
      <c r="D61" s="111">
        <v>0</v>
      </c>
      <c r="E61" s="111">
        <v>0</v>
      </c>
      <c r="F61" s="111">
        <v>0</v>
      </c>
      <c r="G61" s="111">
        <v>-0.06</v>
      </c>
      <c r="H61" s="397">
        <v>0</v>
      </c>
    </row>
    <row r="62" spans="2:8" ht="13" x14ac:dyDescent="0.15">
      <c r="B62" s="104" t="s">
        <v>54</v>
      </c>
      <c r="D62" s="114">
        <f t="shared" ref="D62:H62" si="12">SUM(D51:D61)</f>
        <v>7.0000000000000007E-2</v>
      </c>
      <c r="E62" s="114">
        <f t="shared" si="12"/>
        <v>-9.0000000000000011E-2</v>
      </c>
      <c r="F62" s="114">
        <f t="shared" si="12"/>
        <v>0.05</v>
      </c>
      <c r="G62" s="114">
        <f t="shared" si="12"/>
        <v>-0.26</v>
      </c>
      <c r="H62" s="456">
        <f t="shared" si="12"/>
        <v>-0.1</v>
      </c>
    </row>
    <row r="63" spans="2:8" s="118" customFormat="1" ht="13" x14ac:dyDescent="0.15">
      <c r="B63" s="115" t="s">
        <v>47</v>
      </c>
      <c r="C63" s="116"/>
      <c r="D63" s="117">
        <f t="shared" ref="D63:H63" si="13">D49*(1+D62)</f>
        <v>124.51733583154891</v>
      </c>
      <c r="E63" s="117">
        <f t="shared" si="13"/>
        <v>132.94302686915887</v>
      </c>
      <c r="F63" s="117">
        <f t="shared" si="13"/>
        <v>117.86232730263157</v>
      </c>
      <c r="G63" s="117">
        <f t="shared" si="13"/>
        <v>105.78329319453077</v>
      </c>
      <c r="H63" s="117">
        <f t="shared" si="13"/>
        <v>120.17859374999999</v>
      </c>
    </row>
    <row r="66" spans="2:12" ht="17" customHeight="1" x14ac:dyDescent="0.15">
      <c r="B66" s="119"/>
      <c r="C66" s="120" t="s">
        <v>55</v>
      </c>
      <c r="D66" s="120" t="s">
        <v>56</v>
      </c>
      <c r="E66" s="120" t="s">
        <v>57</v>
      </c>
      <c r="F66" s="120" t="s">
        <v>58</v>
      </c>
      <c r="G66" s="120" t="s">
        <v>59</v>
      </c>
      <c r="J66" s="480" t="s">
        <v>67</v>
      </c>
      <c r="K66" s="481"/>
      <c r="L66" s="482"/>
    </row>
    <row r="67" spans="2:12" ht="17" customHeight="1" x14ac:dyDescent="0.15">
      <c r="B67" s="121" t="s">
        <v>60</v>
      </c>
      <c r="C67" s="122">
        <f>MIN(D36:H36)</f>
        <v>103.61842105263158</v>
      </c>
      <c r="D67" s="122">
        <f>MAX(D36:H36)</f>
        <v>143.69158878504672</v>
      </c>
      <c r="E67" s="122">
        <f>AVERAGE(D36:H36)</f>
        <v>124.11485737786658</v>
      </c>
      <c r="F67" s="122">
        <f>MEDIAN(D36:H36)</f>
        <v>123.26388888888889</v>
      </c>
      <c r="G67" s="122">
        <f>_xlfn.STDEV.P(D36:H36)</f>
        <v>13.914470854302195</v>
      </c>
      <c r="J67" s="483" t="s">
        <v>68</v>
      </c>
      <c r="K67" s="484"/>
      <c r="L67" s="485"/>
    </row>
    <row r="68" spans="2:12" ht="17" customHeight="1" x14ac:dyDescent="0.15">
      <c r="B68" s="123" t="s">
        <v>61</v>
      </c>
      <c r="C68" s="122">
        <f>MIN(D63:H63)</f>
        <v>105.78329319453077</v>
      </c>
      <c r="D68" s="122">
        <f>MAX(D63:H63)</f>
        <v>132.94302686915887</v>
      </c>
      <c r="E68" s="122">
        <f>AVERAGE(D63:H63)</f>
        <v>120.256915389574</v>
      </c>
      <c r="F68" s="122">
        <f>MEDIAN(D63:H63)</f>
        <v>120.17859374999999</v>
      </c>
      <c r="G68" s="122">
        <f>_xlfn.STDEV.P(D63:H63)</f>
        <v>8.8804789583113468</v>
      </c>
      <c r="J68" s="138" t="s">
        <v>12</v>
      </c>
      <c r="K68" s="139" t="s">
        <v>69</v>
      </c>
      <c r="L68" s="140" t="s">
        <v>70</v>
      </c>
    </row>
    <row r="69" spans="2:12" ht="15" x14ac:dyDescent="0.15">
      <c r="J69" s="141">
        <f>SSum!M3</f>
        <v>16268</v>
      </c>
      <c r="K69" s="142">
        <v>120</v>
      </c>
      <c r="L69" s="143">
        <f>J69*K69</f>
        <v>1952160</v>
      </c>
    </row>
    <row r="70" spans="2:12" ht="15" x14ac:dyDescent="0.15">
      <c r="J70" s="476" t="s">
        <v>71</v>
      </c>
      <c r="K70" s="477"/>
      <c r="L70" s="144">
        <v>1950000</v>
      </c>
    </row>
    <row r="71" spans="2:12" x14ac:dyDescent="0.15">
      <c r="C71" s="72"/>
    </row>
    <row r="72" spans="2:12" x14ac:dyDescent="0.15">
      <c r="B72" s="102"/>
      <c r="C72" s="72"/>
    </row>
  </sheetData>
  <mergeCells count="5">
    <mergeCell ref="J70:K70"/>
    <mergeCell ref="B3:B4"/>
    <mergeCell ref="B32:B33"/>
    <mergeCell ref="J66:L66"/>
    <mergeCell ref="J67:L6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66D48-2A45-439E-8E6D-BC2D86EC2204}">
  <sheetPr>
    <tabColor rgb="FFC00000"/>
  </sheetPr>
  <dimension ref="A1:AD43"/>
  <sheetViews>
    <sheetView workbookViewId="0">
      <pane ySplit="1" topLeftCell="A2" activePane="bottomLeft" state="frozen"/>
      <selection activeCell="G24" sqref="G24"/>
      <selection pane="bottomLeft" activeCell="C8" sqref="C8"/>
    </sheetView>
  </sheetViews>
  <sheetFormatPr baseColWidth="10" defaultColWidth="9.1640625" defaultRowHeight="12" x14ac:dyDescent="0.2"/>
  <cols>
    <col min="1" max="1" width="14.1640625" style="24" customWidth="1"/>
    <col min="2" max="2" width="27.1640625" style="25" customWidth="1"/>
    <col min="3" max="3" width="21.1640625" style="25" customWidth="1"/>
    <col min="4" max="4" width="23.1640625" style="25" customWidth="1"/>
    <col min="5" max="5" width="12" style="32" customWidth="1"/>
    <col min="6" max="6" width="14.6640625" style="32" customWidth="1"/>
    <col min="7" max="7" width="14.6640625" style="26" customWidth="1"/>
    <col min="8" max="8" width="10.33203125" style="29" customWidth="1"/>
    <col min="9" max="10" width="10" style="29" customWidth="1"/>
    <col min="11" max="11" width="12.83203125" style="29" customWidth="1"/>
    <col min="12" max="12" width="9.83203125" style="29" customWidth="1"/>
    <col min="13" max="14" width="12.83203125" style="31" customWidth="1"/>
    <col min="15" max="15" width="10.6640625" style="32" customWidth="1"/>
    <col min="16" max="16" width="10.6640625" style="31" customWidth="1"/>
    <col min="17" max="17" width="10.6640625" style="421" customWidth="1"/>
    <col min="18" max="18" width="9" style="48" customWidth="1"/>
    <col min="19" max="19" width="11.1640625" style="48" customWidth="1"/>
    <col min="20" max="20" width="11.1640625" style="384" customWidth="1"/>
    <col min="21" max="21" width="11.1640625" style="48" customWidth="1"/>
    <col min="22" max="22" width="8.6640625" style="48" customWidth="1"/>
    <col min="23" max="23" width="9.1640625" style="48" customWidth="1"/>
    <col min="24" max="25" width="12.33203125" style="32" customWidth="1"/>
    <col min="26" max="26" width="12.33203125" style="31" customWidth="1"/>
    <col min="27" max="27" width="12.33203125" style="32" customWidth="1"/>
    <col min="28" max="28" width="14.6640625" style="28" customWidth="1"/>
    <col min="29" max="29" width="14.6640625" style="29" customWidth="1"/>
    <col min="30" max="30" width="25.6640625" style="25" customWidth="1"/>
    <col min="31" max="16384" width="9.1640625" style="32"/>
  </cols>
  <sheetData>
    <row r="1" spans="1:30" s="191" customFormat="1" x14ac:dyDescent="0.2">
      <c r="A1" s="191" t="s">
        <v>0</v>
      </c>
      <c r="B1" s="191" t="s">
        <v>1</v>
      </c>
      <c r="C1" s="191" t="s">
        <v>217</v>
      </c>
      <c r="D1" s="192" t="s">
        <v>3</v>
      </c>
      <c r="E1" s="191" t="s">
        <v>82</v>
      </c>
      <c r="F1" s="191" t="s">
        <v>81</v>
      </c>
      <c r="G1" s="197" t="s">
        <v>80</v>
      </c>
      <c r="H1" s="193" t="s">
        <v>79</v>
      </c>
      <c r="I1" s="193" t="s">
        <v>78</v>
      </c>
      <c r="J1" s="193" t="s">
        <v>77</v>
      </c>
      <c r="K1" s="193" t="s">
        <v>76</v>
      </c>
      <c r="L1" s="193" t="s">
        <v>11</v>
      </c>
      <c r="M1" s="196" t="s">
        <v>75</v>
      </c>
      <c r="N1" s="196" t="s">
        <v>105</v>
      </c>
      <c r="O1" s="191" t="s">
        <v>13</v>
      </c>
      <c r="P1" s="196" t="s">
        <v>226</v>
      </c>
      <c r="Q1" s="417" t="s">
        <v>224</v>
      </c>
      <c r="R1" s="195" t="s">
        <v>15</v>
      </c>
      <c r="S1" s="195" t="s">
        <v>18</v>
      </c>
      <c r="T1" s="423" t="s">
        <v>229</v>
      </c>
      <c r="U1" s="195" t="str">
        <f>Subj.!B58</f>
        <v>Access</v>
      </c>
      <c r="V1" s="195" t="s">
        <v>16</v>
      </c>
      <c r="W1" s="195" t="s">
        <v>17</v>
      </c>
      <c r="X1" s="191" t="s">
        <v>19</v>
      </c>
      <c r="Y1" s="191" t="s">
        <v>230</v>
      </c>
      <c r="Z1" s="196" t="s">
        <v>232</v>
      </c>
      <c r="AA1" s="191" t="s">
        <v>20</v>
      </c>
      <c r="AB1" s="194" t="s">
        <v>21</v>
      </c>
      <c r="AC1" s="193" t="s">
        <v>22</v>
      </c>
      <c r="AD1" s="192" t="s">
        <v>23</v>
      </c>
    </row>
    <row r="2" spans="1:30" s="9" customFormat="1" x14ac:dyDescent="0.2">
      <c r="A2" s="1"/>
      <c r="B2" s="2"/>
      <c r="C2" s="2"/>
      <c r="D2" s="2"/>
      <c r="G2" s="3"/>
      <c r="H2" s="6"/>
      <c r="I2" s="6"/>
      <c r="J2" s="6"/>
      <c r="K2" s="6"/>
      <c r="L2" s="6"/>
      <c r="M2" s="8"/>
      <c r="N2" s="8"/>
      <c r="P2" s="8"/>
      <c r="Q2" s="418"/>
      <c r="R2" s="10"/>
      <c r="S2" s="190"/>
      <c r="T2" s="379"/>
      <c r="U2" s="10"/>
      <c r="V2" s="10"/>
      <c r="W2" s="10"/>
      <c r="Z2" s="8"/>
      <c r="AB2" s="5"/>
      <c r="AC2" s="6"/>
      <c r="AD2" s="2"/>
    </row>
    <row r="3" spans="1:30" s="180" customFormat="1" x14ac:dyDescent="0.2">
      <c r="A3" s="189" t="s">
        <v>26</v>
      </c>
      <c r="B3" s="181" t="str">
        <f>Subj.!D8</f>
        <v>4735 Dwight Evans Rd</v>
      </c>
      <c r="C3" s="181" t="str">
        <f>Subj.!D9</f>
        <v>Charlotte, NC</v>
      </c>
      <c r="D3" s="181" t="str">
        <f>Subj.!D11</f>
        <v>145-301-22</v>
      </c>
      <c r="G3" s="188"/>
      <c r="H3" s="182"/>
      <c r="I3" s="182"/>
      <c r="J3" s="182"/>
      <c r="K3" s="182"/>
      <c r="L3" s="182"/>
      <c r="M3" s="187">
        <f>Subj.!D38</f>
        <v>16268</v>
      </c>
      <c r="N3" s="187"/>
      <c r="O3" s="180">
        <f>Subj.!D36</f>
        <v>1989</v>
      </c>
      <c r="P3" s="187">
        <f>Subj.!D41</f>
        <v>1209</v>
      </c>
      <c r="Q3" s="419">
        <f>P3/M3</f>
        <v>7.4317678878780422E-2</v>
      </c>
      <c r="R3" s="185" t="str">
        <f>Subj.!D35</f>
        <v>Average</v>
      </c>
      <c r="S3" s="186">
        <f>Subj.!D54</f>
        <v>10</v>
      </c>
      <c r="T3" s="424">
        <f>Subj.!D44</f>
        <v>18</v>
      </c>
      <c r="U3" s="185" t="str">
        <f>Subj.!D58</f>
        <v>Good</v>
      </c>
      <c r="V3" s="185">
        <f>Subj.!D50</f>
        <v>53</v>
      </c>
      <c r="W3" s="184">
        <f>Subj.!D51</f>
        <v>0.91727241259951542</v>
      </c>
      <c r="X3" s="180" t="s">
        <v>240</v>
      </c>
      <c r="Y3" s="180" t="str">
        <f>Subj.!D47</f>
        <v>0 GL/3 DH</v>
      </c>
      <c r="Z3" s="187">
        <f>M3/3</f>
        <v>5422.666666666667</v>
      </c>
      <c r="AA3" s="180" t="str">
        <f>Subj.!D59</f>
        <v>None</v>
      </c>
      <c r="AB3" s="183" t="str">
        <f>Subj.!D28</f>
        <v>I-2</v>
      </c>
      <c r="AC3" s="182"/>
      <c r="AD3" s="181"/>
    </row>
    <row r="4" spans="1:30" s="20" customFormat="1" x14ac:dyDescent="0.2">
      <c r="A4" s="12"/>
      <c r="B4" s="13"/>
      <c r="C4" s="13"/>
      <c r="D4" s="179"/>
      <c r="G4" s="14"/>
      <c r="H4" s="17"/>
      <c r="I4" s="17"/>
      <c r="J4" s="17"/>
      <c r="K4" s="17"/>
      <c r="L4" s="17"/>
      <c r="M4" s="19"/>
      <c r="N4" s="19"/>
      <c r="P4" s="19"/>
      <c r="Q4" s="420"/>
      <c r="R4" s="21"/>
      <c r="S4" s="177"/>
      <c r="T4" s="380"/>
      <c r="U4" s="21"/>
      <c r="V4" s="21"/>
      <c r="W4" s="147"/>
      <c r="Z4" s="19"/>
      <c r="AB4" s="16"/>
      <c r="AC4" s="17"/>
      <c r="AD4" s="13"/>
    </row>
    <row r="5" spans="1:30" s="20" customFormat="1" x14ac:dyDescent="0.2">
      <c r="A5" s="12"/>
      <c r="B5" s="13"/>
      <c r="C5" s="13"/>
      <c r="D5" s="13"/>
      <c r="G5" s="14"/>
      <c r="H5" s="178"/>
      <c r="I5" s="17"/>
      <c r="J5" s="17"/>
      <c r="K5" s="17"/>
      <c r="L5" s="17"/>
      <c r="M5" s="19"/>
      <c r="N5" s="19"/>
      <c r="P5" s="19"/>
      <c r="Q5" s="420"/>
      <c r="R5" s="21"/>
      <c r="S5" s="177"/>
      <c r="T5" s="380"/>
      <c r="U5" s="21"/>
      <c r="V5" s="21"/>
      <c r="W5" s="22"/>
      <c r="Z5" s="19"/>
      <c r="AB5" s="16"/>
      <c r="AC5" s="17"/>
      <c r="AD5" s="13"/>
    </row>
    <row r="6" spans="1:30" x14ac:dyDescent="0.2">
      <c r="B6" s="25" t="s">
        <v>343</v>
      </c>
      <c r="C6" s="25" t="s">
        <v>263</v>
      </c>
      <c r="D6" s="25" t="s">
        <v>354</v>
      </c>
      <c r="E6" s="32" t="s">
        <v>353</v>
      </c>
      <c r="F6" s="32" t="s">
        <v>74</v>
      </c>
      <c r="G6" s="26">
        <v>44409</v>
      </c>
      <c r="H6" s="176">
        <v>120</v>
      </c>
      <c r="I6" s="29">
        <v>11.24</v>
      </c>
      <c r="J6" s="29" t="s">
        <v>73</v>
      </c>
      <c r="K6" s="29" t="s">
        <v>239</v>
      </c>
      <c r="L6" s="29" t="s">
        <v>29</v>
      </c>
      <c r="M6" s="31">
        <v>18090</v>
      </c>
      <c r="N6" s="31">
        <v>18090</v>
      </c>
      <c r="O6" s="32">
        <v>1982</v>
      </c>
      <c r="P6" s="31">
        <v>1980</v>
      </c>
      <c r="Q6" s="421">
        <f>P6/M6</f>
        <v>0.10945273631840796</v>
      </c>
      <c r="R6" s="48" t="s">
        <v>27</v>
      </c>
      <c r="S6" s="386">
        <v>5</v>
      </c>
      <c r="T6" s="384">
        <v>15</v>
      </c>
      <c r="U6" s="48" t="s">
        <v>27</v>
      </c>
      <c r="V6" s="48">
        <v>17</v>
      </c>
      <c r="W6" s="22">
        <f>V6/(N6/1000)</f>
        <v>0.9397457158651189</v>
      </c>
      <c r="X6" s="32" t="s">
        <v>240</v>
      </c>
      <c r="Y6" s="32" t="s">
        <v>355</v>
      </c>
      <c r="Z6" s="31">
        <f>M6/4</f>
        <v>4522.5</v>
      </c>
      <c r="AA6" s="32" t="s">
        <v>28</v>
      </c>
      <c r="AC6" s="29" t="s">
        <v>356</v>
      </c>
    </row>
    <row r="7" spans="1:30" x14ac:dyDescent="0.2">
      <c r="B7" s="25" t="s">
        <v>338</v>
      </c>
      <c r="C7" s="25" t="s">
        <v>263</v>
      </c>
      <c r="D7" s="25" t="s">
        <v>339</v>
      </c>
      <c r="E7" s="32" t="s">
        <v>340</v>
      </c>
      <c r="F7" s="32" t="s">
        <v>74</v>
      </c>
      <c r="G7" s="26">
        <v>44256</v>
      </c>
      <c r="H7" s="176">
        <v>72</v>
      </c>
      <c r="I7" s="29">
        <v>8.51</v>
      </c>
      <c r="J7" s="29" t="s">
        <v>73</v>
      </c>
      <c r="K7" s="29" t="s">
        <v>239</v>
      </c>
      <c r="L7" s="29" t="s">
        <v>29</v>
      </c>
      <c r="M7" s="31">
        <v>16492</v>
      </c>
      <c r="N7" s="31">
        <v>16492</v>
      </c>
      <c r="O7" s="32">
        <v>1998</v>
      </c>
      <c r="P7" s="31">
        <v>1484</v>
      </c>
      <c r="Q7" s="421">
        <f>P7/M7</f>
        <v>8.9983022071307303E-2</v>
      </c>
      <c r="R7" s="48" t="s">
        <v>27</v>
      </c>
      <c r="S7" s="386">
        <v>7</v>
      </c>
      <c r="T7" s="384">
        <v>16</v>
      </c>
      <c r="U7" s="48" t="s">
        <v>27</v>
      </c>
      <c r="V7" s="48">
        <v>9</v>
      </c>
      <c r="W7" s="22">
        <f>V7/(N7/1000)</f>
        <v>0.54571913655105497</v>
      </c>
      <c r="X7" s="32" t="s">
        <v>240</v>
      </c>
      <c r="Y7" s="32" t="s">
        <v>347</v>
      </c>
      <c r="Z7" s="31">
        <f t="shared" ref="Z7" si="0">M7/2</f>
        <v>8246</v>
      </c>
      <c r="AA7" s="32" t="s">
        <v>28</v>
      </c>
      <c r="AC7" s="29" t="s">
        <v>348</v>
      </c>
    </row>
    <row r="8" spans="1:30" x14ac:dyDescent="0.2">
      <c r="B8" s="25" t="s">
        <v>351</v>
      </c>
      <c r="C8" s="25" t="s">
        <v>263</v>
      </c>
      <c r="D8" s="25" t="s">
        <v>350</v>
      </c>
      <c r="E8" s="32" t="s">
        <v>349</v>
      </c>
      <c r="F8" s="32" t="s">
        <v>74</v>
      </c>
      <c r="G8" s="26">
        <v>44348</v>
      </c>
      <c r="H8" s="176">
        <v>36</v>
      </c>
      <c r="I8" s="29">
        <v>9.76</v>
      </c>
      <c r="J8" s="29" t="s">
        <v>73</v>
      </c>
      <c r="K8" s="29" t="s">
        <v>239</v>
      </c>
      <c r="L8" s="29" t="s">
        <v>29</v>
      </c>
      <c r="M8" s="31">
        <v>3628</v>
      </c>
      <c r="N8" s="31">
        <v>26040</v>
      </c>
      <c r="O8" s="32">
        <v>1983</v>
      </c>
      <c r="P8" s="31">
        <v>1200</v>
      </c>
      <c r="Q8" s="421">
        <f>P8/M8</f>
        <v>0.33076074972436603</v>
      </c>
      <c r="R8" s="48" t="s">
        <v>27</v>
      </c>
      <c r="S8" s="386">
        <v>10</v>
      </c>
      <c r="T8" s="384">
        <v>16</v>
      </c>
      <c r="U8" s="48" t="s">
        <v>27</v>
      </c>
      <c r="V8" s="48">
        <v>55</v>
      </c>
      <c r="W8" s="22">
        <f>V8/(N8/1000)</f>
        <v>2.1121351766513059</v>
      </c>
      <c r="X8" s="32" t="s">
        <v>240</v>
      </c>
      <c r="Y8" s="32" t="s">
        <v>352</v>
      </c>
      <c r="Z8" s="31">
        <f>M8/1</f>
        <v>3628</v>
      </c>
      <c r="AA8" s="32" t="s">
        <v>28</v>
      </c>
      <c r="AC8" s="29" t="s">
        <v>360</v>
      </c>
    </row>
    <row r="9" spans="1:30" x14ac:dyDescent="0.2">
      <c r="B9" s="25" t="s">
        <v>342</v>
      </c>
      <c r="C9" s="25" t="s">
        <v>263</v>
      </c>
      <c r="D9" s="25" t="s">
        <v>344</v>
      </c>
      <c r="E9" s="32" t="s">
        <v>345</v>
      </c>
      <c r="F9" s="32" t="s">
        <v>74</v>
      </c>
      <c r="G9" s="26">
        <v>44013</v>
      </c>
      <c r="H9" s="176">
        <v>60</v>
      </c>
      <c r="I9" s="29">
        <v>9.36</v>
      </c>
      <c r="J9" s="29" t="s">
        <v>73</v>
      </c>
      <c r="K9" s="29" t="s">
        <v>239</v>
      </c>
      <c r="L9" s="29" t="s">
        <v>29</v>
      </c>
      <c r="M9" s="31">
        <v>13700</v>
      </c>
      <c r="N9" s="31">
        <v>13700</v>
      </c>
      <c r="O9" s="32">
        <v>1967</v>
      </c>
      <c r="P9" s="31">
        <v>3151</v>
      </c>
      <c r="Q9" s="421">
        <f>P9/M9</f>
        <v>0.23</v>
      </c>
      <c r="R9" s="48" t="s">
        <v>30</v>
      </c>
      <c r="S9" s="386">
        <v>10</v>
      </c>
      <c r="T9" s="384">
        <v>16</v>
      </c>
      <c r="U9" s="48" t="s">
        <v>27</v>
      </c>
      <c r="V9" s="48">
        <v>9</v>
      </c>
      <c r="W9" s="22">
        <f>V9/(N9/1000)</f>
        <v>0.65693430656934315</v>
      </c>
      <c r="X9" s="32" t="s">
        <v>240</v>
      </c>
      <c r="Y9" s="32" t="s">
        <v>346</v>
      </c>
      <c r="Z9" s="31">
        <f>M9/2</f>
        <v>6850</v>
      </c>
      <c r="AA9" s="32" t="s">
        <v>28</v>
      </c>
      <c r="AC9" s="29" t="s">
        <v>357</v>
      </c>
    </row>
    <row r="10" spans="1:30" s="426" customFormat="1" x14ac:dyDescent="0.2">
      <c r="A10" s="425"/>
      <c r="E10" s="427"/>
      <c r="F10" s="427"/>
      <c r="G10" s="428"/>
      <c r="H10" s="429"/>
      <c r="I10" s="429"/>
      <c r="J10" s="429"/>
      <c r="K10" s="429"/>
      <c r="L10" s="429"/>
      <c r="M10" s="430"/>
      <c r="N10" s="430"/>
      <c r="O10" s="427"/>
      <c r="P10" s="430"/>
      <c r="Q10" s="431"/>
      <c r="R10" s="432"/>
      <c r="S10" s="433"/>
      <c r="T10" s="434"/>
      <c r="U10" s="432"/>
      <c r="V10" s="432"/>
      <c r="W10" s="432"/>
      <c r="X10" s="427"/>
      <c r="Y10" s="427"/>
      <c r="Z10" s="430"/>
      <c r="AA10" s="427"/>
      <c r="AB10" s="435"/>
      <c r="AC10" s="429"/>
    </row>
    <row r="11" spans="1:30" s="426" customFormat="1" x14ac:dyDescent="0.2">
      <c r="A11" s="425"/>
      <c r="E11" s="427"/>
      <c r="F11" s="427"/>
      <c r="G11" s="428"/>
      <c r="H11" s="429"/>
      <c r="I11" s="429"/>
      <c r="J11" s="429"/>
      <c r="K11" s="429"/>
      <c r="L11" s="429"/>
      <c r="M11" s="430"/>
      <c r="N11" s="430"/>
      <c r="O11" s="427"/>
      <c r="P11" s="430"/>
      <c r="Q11" s="431"/>
      <c r="R11" s="432"/>
      <c r="S11" s="433"/>
      <c r="T11" s="434"/>
      <c r="U11" s="432"/>
      <c r="V11" s="432"/>
      <c r="W11" s="432"/>
      <c r="X11" s="427"/>
      <c r="Y11" s="427"/>
      <c r="Z11" s="430"/>
      <c r="AA11" s="427"/>
      <c r="AB11" s="435"/>
      <c r="AC11" s="429"/>
    </row>
    <row r="12" spans="1:30" s="43" customFormat="1" x14ac:dyDescent="0.2">
      <c r="A12" s="35"/>
      <c r="B12" s="36"/>
      <c r="C12" s="36"/>
      <c r="D12" s="36"/>
      <c r="G12" s="37"/>
      <c r="H12" s="174"/>
      <c r="I12" s="40"/>
      <c r="J12" s="40"/>
      <c r="K12" s="40"/>
      <c r="L12" s="40"/>
      <c r="M12" s="42"/>
      <c r="N12" s="42"/>
      <c r="P12" s="42"/>
      <c r="Q12" s="422"/>
      <c r="R12" s="44"/>
      <c r="S12" s="173"/>
      <c r="T12" s="383"/>
      <c r="U12" s="44"/>
      <c r="V12" s="44"/>
      <c r="W12" s="45"/>
      <c r="Z12" s="42"/>
      <c r="AB12" s="39"/>
      <c r="AC12" s="40"/>
      <c r="AD12" s="36"/>
    </row>
    <row r="13" spans="1:30" s="20" customFormat="1" x14ac:dyDescent="0.2">
      <c r="A13" s="12"/>
      <c r="B13" s="13"/>
      <c r="C13" s="13"/>
      <c r="D13" s="13"/>
      <c r="G13" s="14"/>
      <c r="H13" s="17"/>
      <c r="I13" s="17"/>
      <c r="J13" s="17"/>
      <c r="K13" s="17"/>
      <c r="L13" s="17"/>
      <c r="M13" s="19"/>
      <c r="N13" s="19"/>
      <c r="P13" s="19"/>
      <c r="Q13" s="420"/>
      <c r="R13" s="21"/>
      <c r="S13" s="177"/>
      <c r="T13" s="380"/>
      <c r="U13" s="21"/>
      <c r="V13" s="21"/>
      <c r="W13" s="21"/>
      <c r="Z13" s="19"/>
      <c r="AB13" s="16"/>
      <c r="AC13" s="17"/>
      <c r="AD13" s="13"/>
    </row>
    <row r="14" spans="1:30" x14ac:dyDescent="0.2">
      <c r="S14" s="386"/>
    </row>
    <row r="15" spans="1:30" x14ac:dyDescent="0.2">
      <c r="S15" s="386"/>
    </row>
    <row r="16" spans="1:30" x14ac:dyDescent="0.2">
      <c r="S16" s="386"/>
    </row>
    <row r="17" spans="9:19" x14ac:dyDescent="0.2">
      <c r="S17" s="386"/>
    </row>
    <row r="18" spans="9:19" x14ac:dyDescent="0.2">
      <c r="S18" s="386"/>
    </row>
    <row r="19" spans="9:19" x14ac:dyDescent="0.2">
      <c r="I19" s="29">
        <v>7.89</v>
      </c>
      <c r="S19" s="386"/>
    </row>
    <row r="20" spans="9:19" x14ac:dyDescent="0.2">
      <c r="I20" s="29">
        <f>I19*1.03</f>
        <v>8.1266999999999996</v>
      </c>
      <c r="S20" s="386"/>
    </row>
    <row r="21" spans="9:19" x14ac:dyDescent="0.2">
      <c r="I21" s="29">
        <f t="shared" ref="I21:I23" si="1">I20*1.03</f>
        <v>8.3705009999999991</v>
      </c>
      <c r="S21" s="386"/>
    </row>
    <row r="22" spans="9:19" x14ac:dyDescent="0.2">
      <c r="I22" s="29">
        <f t="shared" si="1"/>
        <v>8.6216160299999984</v>
      </c>
      <c r="S22" s="386"/>
    </row>
    <row r="23" spans="9:19" x14ac:dyDescent="0.2">
      <c r="I23" s="29">
        <f t="shared" si="1"/>
        <v>8.8802645108999982</v>
      </c>
      <c r="S23" s="386"/>
    </row>
    <row r="24" spans="9:19" x14ac:dyDescent="0.2">
      <c r="I24" s="29">
        <f>I23*1.03</f>
        <v>9.146672446226999</v>
      </c>
      <c r="S24" s="386"/>
    </row>
    <row r="25" spans="9:19" x14ac:dyDescent="0.2">
      <c r="S25" s="386"/>
    </row>
    <row r="26" spans="9:19" x14ac:dyDescent="0.2">
      <c r="I26" s="29">
        <f>SUM(I19:I24)/6</f>
        <v>8.5059589978544992</v>
      </c>
      <c r="S26" s="386"/>
    </row>
    <row r="27" spans="9:19" x14ac:dyDescent="0.2">
      <c r="S27" s="386"/>
    </row>
    <row r="28" spans="9:19" x14ac:dyDescent="0.2">
      <c r="S28" s="386"/>
    </row>
    <row r="29" spans="9:19" x14ac:dyDescent="0.2">
      <c r="I29" s="29">
        <v>9.9499999999999993</v>
      </c>
      <c r="J29" s="29">
        <f>I29*18090</f>
        <v>179995.5</v>
      </c>
      <c r="S29" s="386"/>
    </row>
    <row r="30" spans="9:19" x14ac:dyDescent="0.2">
      <c r="I30" s="29">
        <f>I29*1.03</f>
        <v>10.2485</v>
      </c>
      <c r="J30" s="29">
        <f t="shared" ref="J30:J33" si="2">I30*18090</f>
        <v>185395.36499999999</v>
      </c>
      <c r="S30" s="386"/>
    </row>
    <row r="31" spans="9:19" x14ac:dyDescent="0.2">
      <c r="I31" s="29">
        <f t="shared" ref="I31:I38" si="3">I30*1.03</f>
        <v>10.555955000000001</v>
      </c>
      <c r="J31" s="29">
        <f t="shared" si="2"/>
        <v>190957.22595000002</v>
      </c>
      <c r="S31" s="386"/>
    </row>
    <row r="32" spans="9:19" x14ac:dyDescent="0.2">
      <c r="I32" s="29">
        <f t="shared" si="3"/>
        <v>10.872633650000001</v>
      </c>
      <c r="J32" s="29">
        <f t="shared" si="2"/>
        <v>196685.94272850003</v>
      </c>
      <c r="S32" s="386"/>
    </row>
    <row r="33" spans="9:19" x14ac:dyDescent="0.2">
      <c r="I33" s="29">
        <f t="shared" si="3"/>
        <v>11.198812659500001</v>
      </c>
      <c r="J33" s="29">
        <f t="shared" si="2"/>
        <v>202586.52101035503</v>
      </c>
      <c r="S33" s="386"/>
    </row>
    <row r="34" spans="9:19" x14ac:dyDescent="0.2">
      <c r="I34" s="29">
        <f t="shared" si="3"/>
        <v>11.534777039285002</v>
      </c>
      <c r="S34" s="386"/>
    </row>
    <row r="35" spans="9:19" x14ac:dyDescent="0.2">
      <c r="I35" s="29">
        <f t="shared" si="3"/>
        <v>11.880820350463553</v>
      </c>
      <c r="S35" s="386"/>
    </row>
    <row r="36" spans="9:19" x14ac:dyDescent="0.2">
      <c r="I36" s="29">
        <f t="shared" si="3"/>
        <v>12.23724496097746</v>
      </c>
      <c r="S36" s="386"/>
    </row>
    <row r="37" spans="9:19" x14ac:dyDescent="0.2">
      <c r="I37" s="29">
        <f t="shared" si="3"/>
        <v>12.604362309806785</v>
      </c>
      <c r="S37" s="386"/>
    </row>
    <row r="38" spans="9:19" x14ac:dyDescent="0.2">
      <c r="I38" s="29">
        <f t="shared" si="3"/>
        <v>12.982493179100988</v>
      </c>
    </row>
    <row r="40" spans="9:19" x14ac:dyDescent="0.2">
      <c r="I40" s="29">
        <f>SUM(I29:I38)</f>
        <v>114.06559914913379</v>
      </c>
      <c r="J40" s="29">
        <f>(SUM(J29:J33)-18080-15000)/5</f>
        <v>184508.11093777101</v>
      </c>
    </row>
    <row r="43" spans="9:19" x14ac:dyDescent="0.2">
      <c r="J43" s="29" t="e" cm="1">
        <f t="array" ref="J43">sum</f>
        <v>#NAME?</v>
      </c>
    </row>
  </sheetData>
  <phoneticPr fontId="35"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9D40-E69B-41B2-8D5F-B81CD0CDF66F}">
  <sheetPr>
    <tabColor rgb="FFC00000"/>
  </sheetPr>
  <dimension ref="A1:B29"/>
  <sheetViews>
    <sheetView tabSelected="1" workbookViewId="0">
      <selection activeCell="B12" sqref="B12"/>
    </sheetView>
  </sheetViews>
  <sheetFormatPr baseColWidth="10" defaultColWidth="9.1640625" defaultRowHeight="15" customHeight="1" x14ac:dyDescent="0.2"/>
  <cols>
    <col min="1" max="2" width="22.6640625" style="49" customWidth="1"/>
    <col min="3" max="16384" width="9.1640625" style="49"/>
  </cols>
  <sheetData>
    <row r="1" spans="1:2" ht="15" customHeight="1" x14ac:dyDescent="0.2">
      <c r="A1" s="474" t="s">
        <v>83</v>
      </c>
      <c r="B1" s="474" t="e">
        <f>RG!#REF!</f>
        <v>#REF!</v>
      </c>
    </row>
    <row r="2" spans="1:2" ht="15" customHeight="1" x14ac:dyDescent="0.2">
      <c r="A2" s="475" t="s">
        <v>32</v>
      </c>
      <c r="B2" s="475"/>
    </row>
    <row r="3" spans="1:2" ht="15" customHeight="1" x14ac:dyDescent="0.2">
      <c r="A3" s="473" t="str">
        <f>RSum!B1</f>
        <v>Address</v>
      </c>
      <c r="B3" s="50" t="str">
        <f>RSum!B6</f>
        <v>647 Michael Wylie Dr</v>
      </c>
    </row>
    <row r="4" spans="1:2" ht="15" customHeight="1" x14ac:dyDescent="0.2">
      <c r="A4" s="473"/>
      <c r="B4" s="50" t="str">
        <f>RSum!C6</f>
        <v>Charlotte, NC</v>
      </c>
    </row>
    <row r="5" spans="1:2" ht="15" customHeight="1" x14ac:dyDescent="0.2">
      <c r="A5" s="50" t="str">
        <f>RSum!D1</f>
        <v>Parcel No.(s)</v>
      </c>
      <c r="B5" s="51" t="str">
        <f>RSum!D6</f>
        <v>145-271-21</v>
      </c>
    </row>
    <row r="6" spans="1:2" ht="15" customHeight="1" x14ac:dyDescent="0.2">
      <c r="A6" s="475" t="s">
        <v>33</v>
      </c>
      <c r="B6" s="475"/>
    </row>
    <row r="7" spans="1:2" s="201" customFormat="1" ht="15" customHeight="1" x14ac:dyDescent="0.2">
      <c r="A7" s="202" t="str">
        <f>RSum!J1</f>
        <v>Property Rights Conveyed</v>
      </c>
      <c r="B7" s="202" t="str">
        <f>RSum!J6</f>
        <v>Typical</v>
      </c>
    </row>
    <row r="8" spans="1:2" ht="15" customHeight="1" x14ac:dyDescent="0.2">
      <c r="A8" s="52" t="str">
        <f>RSum!E1</f>
        <v>Tenant</v>
      </c>
      <c r="B8" s="53" t="str">
        <f>RSum!E6</f>
        <v>Renner</v>
      </c>
    </row>
    <row r="9" spans="1:2" ht="15" customHeight="1" x14ac:dyDescent="0.2">
      <c r="A9" s="52" t="str">
        <f>RSum!F1</f>
        <v>Lease Type</v>
      </c>
      <c r="B9" s="54" t="str">
        <f>RSum!F6</f>
        <v>Direct</v>
      </c>
    </row>
    <row r="10" spans="1:2" ht="15" customHeight="1" x14ac:dyDescent="0.2">
      <c r="A10" s="52" t="str">
        <f>RSum!G1</f>
        <v>Lease Date</v>
      </c>
      <c r="B10" s="200">
        <f>RSum!G6</f>
        <v>44409</v>
      </c>
    </row>
    <row r="11" spans="1:2" ht="15" customHeight="1" x14ac:dyDescent="0.2">
      <c r="A11" s="52" t="str">
        <f>RSum!H1</f>
        <v>Lease Term</v>
      </c>
      <c r="B11" s="199">
        <f>RSum!H6</f>
        <v>120</v>
      </c>
    </row>
    <row r="12" spans="1:2" ht="15" customHeight="1" x14ac:dyDescent="0.2">
      <c r="A12" s="52" t="str">
        <f>RSum!I1</f>
        <v>Lease Rate (S/SF/Yr)</v>
      </c>
      <c r="B12" s="198">
        <f>RSum!I6</f>
        <v>11.24</v>
      </c>
    </row>
    <row r="13" spans="1:2" ht="15" customHeight="1" x14ac:dyDescent="0.2">
      <c r="A13" s="52" t="str">
        <f>RSum!K1</f>
        <v>Expense Structure</v>
      </c>
      <c r="B13" s="50" t="str">
        <f>RSum!K6</f>
        <v>NNN</v>
      </c>
    </row>
    <row r="14" spans="1:2" ht="15" customHeight="1" x14ac:dyDescent="0.2">
      <c r="A14" s="52" t="str">
        <f>RSum!L1</f>
        <v>Verification</v>
      </c>
      <c r="B14" s="50" t="str">
        <f>RSum!L6</f>
        <v>Listing Broker</v>
      </c>
    </row>
    <row r="15" spans="1:2" ht="15" customHeight="1" x14ac:dyDescent="0.2">
      <c r="A15" s="475" t="s">
        <v>34</v>
      </c>
      <c r="B15" s="475"/>
    </row>
    <row r="16" spans="1:2" ht="15" customHeight="1" x14ac:dyDescent="0.2">
      <c r="A16" s="59" t="str">
        <f>RSum!M1</f>
        <v>Rentable Building Area (SF)</v>
      </c>
      <c r="B16" s="60">
        <f>RSum!M6</f>
        <v>18090</v>
      </c>
    </row>
    <row r="17" spans="1:2" ht="15" customHeight="1" x14ac:dyDescent="0.2">
      <c r="A17" s="61" t="str">
        <f>RSum!O1</f>
        <v>Year Built</v>
      </c>
      <c r="B17" s="50">
        <f>RSum!O6</f>
        <v>1982</v>
      </c>
    </row>
    <row r="18" spans="1:2" ht="15" customHeight="1" x14ac:dyDescent="0.2">
      <c r="A18" s="59" t="str">
        <f>RSum!R1</f>
        <v>Quality</v>
      </c>
      <c r="B18" s="62" t="str">
        <f>RSum!R6</f>
        <v>Good</v>
      </c>
    </row>
    <row r="19" spans="1:2" ht="15" customHeight="1" x14ac:dyDescent="0.2">
      <c r="A19" s="59" t="str">
        <f>RSum!S1</f>
        <v>Effective Age/Condition</v>
      </c>
      <c r="B19" s="64">
        <f>RSum!S6</f>
        <v>5</v>
      </c>
    </row>
    <row r="20" spans="1:2" ht="15" customHeight="1" x14ac:dyDescent="0.2">
      <c r="A20" s="59" t="str">
        <f>RSum!Q1</f>
        <v>Finished Ratio</v>
      </c>
      <c r="B20" s="444">
        <f>RSum!Q6</f>
        <v>0.10945273631840796</v>
      </c>
    </row>
    <row r="21" spans="1:2" ht="15" customHeight="1" x14ac:dyDescent="0.2">
      <c r="A21" s="59" t="str">
        <f>RSum!U1</f>
        <v>Access</v>
      </c>
      <c r="B21" s="60" t="str">
        <f>RSum!U6</f>
        <v>Good</v>
      </c>
    </row>
    <row r="22" spans="1:2" ht="15" customHeight="1" x14ac:dyDescent="0.2">
      <c r="A22" s="59" t="str">
        <f>RSum!W1</f>
        <v>Parking Ratio</v>
      </c>
      <c r="B22" s="63">
        <f>RSum!W6</f>
        <v>0.9397457158651189</v>
      </c>
    </row>
    <row r="23" spans="1:2" ht="15" customHeight="1" x14ac:dyDescent="0.2">
      <c r="A23" s="59" t="str">
        <f>RSum!T1</f>
        <v>Eave Height</v>
      </c>
      <c r="B23" s="400">
        <f>RSum!T6</f>
        <v>15</v>
      </c>
    </row>
    <row r="24" spans="1:2" ht="15" customHeight="1" x14ac:dyDescent="0.2">
      <c r="A24" s="59" t="str">
        <f>RSum!Y1</f>
        <v>Loading</v>
      </c>
      <c r="B24" s="63" t="str">
        <f>RSum!Y6</f>
        <v>2 GL/2 DH</v>
      </c>
    </row>
    <row r="25" spans="1:2" ht="15" customHeight="1" x14ac:dyDescent="0.2">
      <c r="A25" s="59" t="str">
        <f>RSum!Z1</f>
        <v>Loading SF</v>
      </c>
      <c r="B25" s="60">
        <f>RSum!Z6</f>
        <v>4522.5</v>
      </c>
    </row>
    <row r="26" spans="1:2" ht="15" customHeight="1" x14ac:dyDescent="0.2">
      <c r="A26" s="61" t="str">
        <f>RSum!X1</f>
        <v>Building Use</v>
      </c>
      <c r="B26" s="50" t="str">
        <f>RSum!X6</f>
        <v>Industrial</v>
      </c>
    </row>
    <row r="27" spans="1:2" ht="15" customHeight="1" x14ac:dyDescent="0.2">
      <c r="A27" s="61" t="str">
        <f>RSum!AA1</f>
        <v>Other</v>
      </c>
      <c r="B27" s="50" t="str">
        <f>RSum!AA6</f>
        <v>None</v>
      </c>
    </row>
    <row r="28" spans="1:2" ht="15" customHeight="1" x14ac:dyDescent="0.2">
      <c r="A28" s="475" t="s">
        <v>22</v>
      </c>
      <c r="B28" s="475"/>
    </row>
    <row r="29" spans="1:2" ht="15" customHeight="1" x14ac:dyDescent="0.2">
      <c r="A29" s="473" t="str">
        <f>RSum!AC6</f>
        <v xml:space="preserve">This reflects the effective rent for space in an 18,090-square-foot, freestanding just north of the Interstate 77/Billy Graham Parkway interchange within the city limits of Charlotte in Mecklenburg County, North Carolina. The building is demised into 1,980 square feet of office space and 16,110 square feet of warehouse space. The ten-year, triple-net lease was executed with a starting rent of $9.95 per square foot per year having yearly escalations of 3 percent with one month free rent and a reported tenant improvement allowance of $1.00 per square foot. </v>
      </c>
      <c r="B29" s="473" t="e">
        <v>#REF!</v>
      </c>
    </row>
  </sheetData>
  <mergeCells count="7">
    <mergeCell ref="A29:B29"/>
    <mergeCell ref="A1:B1"/>
    <mergeCell ref="A2:B2"/>
    <mergeCell ref="A3:A4"/>
    <mergeCell ref="A6:B6"/>
    <mergeCell ref="A15:B15"/>
    <mergeCell ref="A28:B2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7ADD9-D573-408D-9213-D97DB71E108D}">
  <sheetPr>
    <tabColor rgb="FFC00000"/>
  </sheetPr>
  <dimension ref="A1:B29"/>
  <sheetViews>
    <sheetView workbookViewId="0">
      <selection activeCell="B10" sqref="B10"/>
    </sheetView>
  </sheetViews>
  <sheetFormatPr baseColWidth="10" defaultColWidth="9.1640625" defaultRowHeight="15" customHeight="1" x14ac:dyDescent="0.2"/>
  <cols>
    <col min="1" max="2" width="22.6640625" style="65" customWidth="1"/>
    <col min="3" max="16384" width="9.1640625" style="65"/>
  </cols>
  <sheetData>
    <row r="1" spans="1:2" ht="15" customHeight="1" x14ac:dyDescent="0.2">
      <c r="A1" s="474" t="s">
        <v>84</v>
      </c>
      <c r="B1" s="474"/>
    </row>
    <row r="2" spans="1:2" ht="15" customHeight="1" x14ac:dyDescent="0.2">
      <c r="A2" s="475" t="s">
        <v>32</v>
      </c>
      <c r="B2" s="475"/>
    </row>
    <row r="3" spans="1:2" ht="15" customHeight="1" x14ac:dyDescent="0.2">
      <c r="A3" s="473" t="str">
        <f>RSum!B1</f>
        <v>Address</v>
      </c>
      <c r="B3" s="51" t="str">
        <f>RSum!B7</f>
        <v>3300 Oak Lake Blvd</v>
      </c>
    </row>
    <row r="4" spans="1:2" ht="15" customHeight="1" x14ac:dyDescent="0.2">
      <c r="A4" s="473"/>
      <c r="B4" s="50" t="str">
        <f>RSum!C7</f>
        <v>Charlotte, NC</v>
      </c>
    </row>
    <row r="5" spans="1:2" ht="15" customHeight="1" x14ac:dyDescent="0.2">
      <c r="A5" s="50" t="str">
        <f>RSum!D1</f>
        <v>Parcel No.(s)</v>
      </c>
      <c r="B5" s="51" t="str">
        <f>RSum!D7</f>
        <v>143-261-05</v>
      </c>
    </row>
    <row r="6" spans="1:2" ht="15" customHeight="1" x14ac:dyDescent="0.2">
      <c r="A6" s="475" t="s">
        <v>33</v>
      </c>
      <c r="B6" s="475"/>
    </row>
    <row r="7" spans="1:2" s="203" customFormat="1" ht="15" customHeight="1" x14ac:dyDescent="0.2">
      <c r="A7" s="202" t="str">
        <f>RSum!J1</f>
        <v>Property Rights Conveyed</v>
      </c>
      <c r="B7" s="202" t="str">
        <f>RSum!J7</f>
        <v>Typical</v>
      </c>
    </row>
    <row r="8" spans="1:2" ht="15" customHeight="1" x14ac:dyDescent="0.2">
      <c r="A8" s="52" t="str">
        <f>RSum!E1</f>
        <v>Tenant</v>
      </c>
      <c r="B8" s="53" t="str">
        <f>RSum!E7</f>
        <v>Zoe Baby Products</v>
      </c>
    </row>
    <row r="9" spans="1:2" ht="15" customHeight="1" x14ac:dyDescent="0.2">
      <c r="A9" s="52" t="str">
        <f>RSum!F1</f>
        <v>Lease Type</v>
      </c>
      <c r="B9" s="54" t="str">
        <f>RSum!F7</f>
        <v>Direct</v>
      </c>
    </row>
    <row r="10" spans="1:2" ht="15" customHeight="1" x14ac:dyDescent="0.2">
      <c r="A10" s="52" t="str">
        <f>RSum!G1</f>
        <v>Lease Date</v>
      </c>
      <c r="B10" s="200">
        <f>RSum!G7</f>
        <v>44256</v>
      </c>
    </row>
    <row r="11" spans="1:2" ht="15" customHeight="1" x14ac:dyDescent="0.2">
      <c r="A11" s="52" t="str">
        <f>RSum!H1</f>
        <v>Lease Term</v>
      </c>
      <c r="B11" s="199">
        <f>RSum!H7</f>
        <v>72</v>
      </c>
    </row>
    <row r="12" spans="1:2" ht="15" customHeight="1" x14ac:dyDescent="0.2">
      <c r="A12" s="52" t="str">
        <f>RSum!I1</f>
        <v>Lease Rate (S/SF/Yr)</v>
      </c>
      <c r="B12" s="198">
        <f>RSum!I7</f>
        <v>8.51</v>
      </c>
    </row>
    <row r="13" spans="1:2" ht="15" customHeight="1" x14ac:dyDescent="0.2">
      <c r="A13" s="52" t="str">
        <f>RSum!K1</f>
        <v>Expense Structure</v>
      </c>
      <c r="B13" s="50" t="str">
        <f>RSum!K7</f>
        <v>NNN</v>
      </c>
    </row>
    <row r="14" spans="1:2" ht="15" customHeight="1" x14ac:dyDescent="0.2">
      <c r="A14" s="52" t="str">
        <f>RSum!L1</f>
        <v>Verification</v>
      </c>
      <c r="B14" s="50" t="str">
        <f>RSum!L7</f>
        <v>Listing Broker</v>
      </c>
    </row>
    <row r="15" spans="1:2" ht="15" customHeight="1" x14ac:dyDescent="0.2">
      <c r="A15" s="475" t="s">
        <v>34</v>
      </c>
      <c r="B15" s="475"/>
    </row>
    <row r="16" spans="1:2" ht="15" customHeight="1" x14ac:dyDescent="0.2">
      <c r="A16" s="59" t="str">
        <f>RSum!M1</f>
        <v>Rentable Building Area (SF)</v>
      </c>
      <c r="B16" s="60">
        <f>RSum!M7</f>
        <v>16492</v>
      </c>
    </row>
    <row r="17" spans="1:2" ht="15" customHeight="1" x14ac:dyDescent="0.2">
      <c r="A17" s="61" t="str">
        <f>RSum!O1</f>
        <v>Year Built</v>
      </c>
      <c r="B17" s="50">
        <f>RSum!O7</f>
        <v>1998</v>
      </c>
    </row>
    <row r="18" spans="1:2" ht="15" customHeight="1" x14ac:dyDescent="0.2">
      <c r="A18" s="59" t="str">
        <f>RSum!R1</f>
        <v>Quality</v>
      </c>
      <c r="B18" s="62" t="str">
        <f>RSum!R7</f>
        <v>Good</v>
      </c>
    </row>
    <row r="19" spans="1:2" ht="15" customHeight="1" x14ac:dyDescent="0.2">
      <c r="A19" s="59" t="str">
        <f>RSum!S1</f>
        <v>Effective Age/Condition</v>
      </c>
      <c r="B19" s="64">
        <f>RSum!S7</f>
        <v>7</v>
      </c>
    </row>
    <row r="20" spans="1:2" ht="15" customHeight="1" x14ac:dyDescent="0.2">
      <c r="A20" s="59" t="str">
        <f>RSum!Q1</f>
        <v>Finished Ratio</v>
      </c>
      <c r="B20" s="444">
        <f>RSum!Q7</f>
        <v>8.9983022071307303E-2</v>
      </c>
    </row>
    <row r="21" spans="1:2" ht="15" customHeight="1" x14ac:dyDescent="0.2">
      <c r="A21" s="59" t="str">
        <f>RSum!U1</f>
        <v>Access</v>
      </c>
      <c r="B21" s="60" t="str">
        <f>RSum!U7</f>
        <v>Good</v>
      </c>
    </row>
    <row r="22" spans="1:2" ht="15" customHeight="1" x14ac:dyDescent="0.2">
      <c r="A22" s="59" t="str">
        <f>RSum!W1</f>
        <v>Parking Ratio</v>
      </c>
      <c r="B22" s="63">
        <f>RSum!W7</f>
        <v>0.54571913655105497</v>
      </c>
    </row>
    <row r="23" spans="1:2" ht="15" customHeight="1" x14ac:dyDescent="0.2">
      <c r="A23" s="59" t="str">
        <f>RSum!T1</f>
        <v>Eave Height</v>
      </c>
      <c r="B23" s="400">
        <f>RSum!T7</f>
        <v>16</v>
      </c>
    </row>
    <row r="24" spans="1:2" ht="15" customHeight="1" x14ac:dyDescent="0.2">
      <c r="A24" s="59" t="str">
        <f>RSum!Y1</f>
        <v>Loading</v>
      </c>
      <c r="B24" s="63" t="str">
        <f>RSum!Y7</f>
        <v>1 GL/1 DH</v>
      </c>
    </row>
    <row r="25" spans="1:2" ht="15" customHeight="1" x14ac:dyDescent="0.2">
      <c r="A25" s="59" t="str">
        <f>RSum!Z1</f>
        <v>Loading SF</v>
      </c>
      <c r="B25" s="60">
        <f>RSum!Z7</f>
        <v>8246</v>
      </c>
    </row>
    <row r="26" spans="1:2" ht="15" customHeight="1" x14ac:dyDescent="0.2">
      <c r="A26" s="61" t="str">
        <f>RSum!X1</f>
        <v>Building Use</v>
      </c>
      <c r="B26" s="50" t="str">
        <f>RSum!X7</f>
        <v>Industrial</v>
      </c>
    </row>
    <row r="27" spans="1:2" ht="15" customHeight="1" x14ac:dyDescent="0.2">
      <c r="A27" s="61" t="str">
        <f>RSum!AA1</f>
        <v>Other</v>
      </c>
      <c r="B27" s="50" t="str">
        <f>RSum!AA7</f>
        <v>None</v>
      </c>
    </row>
    <row r="28" spans="1:2" ht="15" customHeight="1" x14ac:dyDescent="0.2">
      <c r="A28" s="475" t="s">
        <v>22</v>
      </c>
      <c r="B28" s="475"/>
    </row>
    <row r="29" spans="1:2" ht="15" customHeight="1" x14ac:dyDescent="0.2">
      <c r="A29" s="473" t="str">
        <f>RSum!AC7</f>
        <v>This reflects the effective rent for space in a 16,492-square-foot, freestanding industrial building located just east of the Billy Graham Parkway/West Tyvola Road interchange with the city limits of Charlotte in Mecklenburg County, North Carolina. The building is fully-conditioned and has approximately 1,484 square feet of office space. The triple-net lease was executed turn-key with a starting rent of $7.89 per square foot per year having 3.0 percent yearly escalations.</v>
      </c>
      <c r="B29" s="473"/>
    </row>
  </sheetData>
  <mergeCells count="7">
    <mergeCell ref="A29:B29"/>
    <mergeCell ref="A1:B1"/>
    <mergeCell ref="A2:B2"/>
    <mergeCell ref="A3:A4"/>
    <mergeCell ref="A6:B6"/>
    <mergeCell ref="A15:B15"/>
    <mergeCell ref="A28:B2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B3B3E-70A1-4857-92E4-F6D12EC3C2F2}">
  <sheetPr>
    <tabColor rgb="FFC00000"/>
  </sheetPr>
  <dimension ref="A1:B29"/>
  <sheetViews>
    <sheetView workbookViewId="0">
      <selection sqref="A1:B29"/>
    </sheetView>
  </sheetViews>
  <sheetFormatPr baseColWidth="10" defaultColWidth="9.1640625" defaultRowHeight="15" customHeight="1" x14ac:dyDescent="0.2"/>
  <cols>
    <col min="1" max="2" width="22.6640625" style="65" customWidth="1"/>
    <col min="3" max="16384" width="9.1640625" style="65"/>
  </cols>
  <sheetData>
    <row r="1" spans="1:2" ht="15" customHeight="1" x14ac:dyDescent="0.2">
      <c r="A1" s="474" t="s">
        <v>85</v>
      </c>
      <c r="B1" s="474" t="e">
        <f>RG!#REF!</f>
        <v>#REF!</v>
      </c>
    </row>
    <row r="2" spans="1:2" ht="15" customHeight="1" x14ac:dyDescent="0.2">
      <c r="A2" s="475" t="s">
        <v>32</v>
      </c>
      <c r="B2" s="475"/>
    </row>
    <row r="3" spans="1:2" ht="15" customHeight="1" x14ac:dyDescent="0.2">
      <c r="A3" s="473" t="str">
        <f>RSum!B1</f>
        <v>Address</v>
      </c>
      <c r="B3" s="51" t="str">
        <f>RSum!B8</f>
        <v>2732 Interstate St, Ste F</v>
      </c>
    </row>
    <row r="4" spans="1:2" ht="15" customHeight="1" x14ac:dyDescent="0.2">
      <c r="A4" s="473"/>
      <c r="B4" s="50" t="str">
        <f>RSum!C8</f>
        <v>Charlotte, NC</v>
      </c>
    </row>
    <row r="5" spans="1:2" ht="15" customHeight="1" x14ac:dyDescent="0.2">
      <c r="A5" s="50" t="str">
        <f>RSum!D1</f>
        <v>Parcel No.(s)</v>
      </c>
      <c r="B5" s="51" t="str">
        <f>RSum!D8</f>
        <v>061-123-12</v>
      </c>
    </row>
    <row r="6" spans="1:2" ht="15" customHeight="1" x14ac:dyDescent="0.2">
      <c r="A6" s="475" t="s">
        <v>33</v>
      </c>
      <c r="B6" s="475"/>
    </row>
    <row r="7" spans="1:2" s="203" customFormat="1" ht="15" customHeight="1" x14ac:dyDescent="0.2">
      <c r="A7" s="202" t="str">
        <f>RSum!J1</f>
        <v>Property Rights Conveyed</v>
      </c>
      <c r="B7" s="202" t="str">
        <f>RSum!J8</f>
        <v>Typical</v>
      </c>
    </row>
    <row r="8" spans="1:2" ht="15" customHeight="1" x14ac:dyDescent="0.2">
      <c r="A8" s="52" t="str">
        <f>RSum!E1</f>
        <v>Tenant</v>
      </c>
      <c r="B8" s="53" t="str">
        <f>RSum!E8</f>
        <v>Confidential</v>
      </c>
    </row>
    <row r="9" spans="1:2" ht="15" customHeight="1" x14ac:dyDescent="0.2">
      <c r="A9" s="52" t="str">
        <f>RSum!F1</f>
        <v>Lease Type</v>
      </c>
      <c r="B9" s="54" t="str">
        <f>RSum!F8</f>
        <v>Direct</v>
      </c>
    </row>
    <row r="10" spans="1:2" ht="15" customHeight="1" x14ac:dyDescent="0.2">
      <c r="A10" s="52" t="str">
        <f>RSum!G1</f>
        <v>Lease Date</v>
      </c>
      <c r="B10" s="200">
        <f>RSum!G8</f>
        <v>44348</v>
      </c>
    </row>
    <row r="11" spans="1:2" ht="15" customHeight="1" x14ac:dyDescent="0.2">
      <c r="A11" s="52" t="str">
        <f>RSum!H1</f>
        <v>Lease Term</v>
      </c>
      <c r="B11" s="199">
        <f>RSum!H8</f>
        <v>36</v>
      </c>
    </row>
    <row r="12" spans="1:2" ht="15" customHeight="1" x14ac:dyDescent="0.2">
      <c r="A12" s="52" t="str">
        <f>RSum!I1</f>
        <v>Lease Rate (S/SF/Yr)</v>
      </c>
      <c r="B12" s="198">
        <f>RSum!I8</f>
        <v>9.76</v>
      </c>
    </row>
    <row r="13" spans="1:2" ht="15" customHeight="1" x14ac:dyDescent="0.2">
      <c r="A13" s="52" t="str">
        <f>RSum!K1</f>
        <v>Expense Structure</v>
      </c>
      <c r="B13" s="50" t="str">
        <f>RSum!K8</f>
        <v>NNN</v>
      </c>
    </row>
    <row r="14" spans="1:2" ht="15" customHeight="1" x14ac:dyDescent="0.2">
      <c r="A14" s="52" t="str">
        <f>RSum!L1</f>
        <v>Verification</v>
      </c>
      <c r="B14" s="50" t="str">
        <f>RSum!L8</f>
        <v>Listing Broker</v>
      </c>
    </row>
    <row r="15" spans="1:2" ht="15" customHeight="1" x14ac:dyDescent="0.2">
      <c r="A15" s="475" t="s">
        <v>34</v>
      </c>
      <c r="B15" s="475"/>
    </row>
    <row r="16" spans="1:2" ht="15" customHeight="1" x14ac:dyDescent="0.2">
      <c r="A16" s="59" t="str">
        <f>RSum!M1</f>
        <v>Rentable Building Area (SF)</v>
      </c>
      <c r="B16" s="60">
        <f>RSum!M8</f>
        <v>3628</v>
      </c>
    </row>
    <row r="17" spans="1:2" ht="15" customHeight="1" x14ac:dyDescent="0.2">
      <c r="A17" s="61" t="str">
        <f>RSum!O1</f>
        <v>Year Built</v>
      </c>
      <c r="B17" s="50">
        <f>RSum!O8</f>
        <v>1983</v>
      </c>
    </row>
    <row r="18" spans="1:2" ht="15" customHeight="1" x14ac:dyDescent="0.2">
      <c r="A18" s="59" t="str">
        <f>RSum!R1</f>
        <v>Quality</v>
      </c>
      <c r="B18" s="62" t="str">
        <f>RSum!R8</f>
        <v>Good</v>
      </c>
    </row>
    <row r="19" spans="1:2" ht="15" customHeight="1" x14ac:dyDescent="0.2">
      <c r="A19" s="59" t="str">
        <f>RSum!S1</f>
        <v>Effective Age/Condition</v>
      </c>
      <c r="B19" s="64">
        <f>RSum!S8</f>
        <v>10</v>
      </c>
    </row>
    <row r="20" spans="1:2" ht="15" customHeight="1" x14ac:dyDescent="0.2">
      <c r="A20" s="59" t="str">
        <f>RSum!Q1</f>
        <v>Finished Ratio</v>
      </c>
      <c r="B20" s="444">
        <f>RSum!Q8</f>
        <v>0.33076074972436603</v>
      </c>
    </row>
    <row r="21" spans="1:2" ht="15" customHeight="1" x14ac:dyDescent="0.2">
      <c r="A21" s="59" t="str">
        <f>RSum!U1</f>
        <v>Access</v>
      </c>
      <c r="B21" s="60" t="str">
        <f>RSum!U8</f>
        <v>Good</v>
      </c>
    </row>
    <row r="22" spans="1:2" ht="15" customHeight="1" x14ac:dyDescent="0.2">
      <c r="A22" s="59" t="str">
        <f>RSum!W1</f>
        <v>Parking Ratio</v>
      </c>
      <c r="B22" s="63">
        <f>RSum!W8</f>
        <v>2.1121351766513059</v>
      </c>
    </row>
    <row r="23" spans="1:2" ht="15" customHeight="1" x14ac:dyDescent="0.2">
      <c r="A23" s="59" t="str">
        <f>RSum!T1</f>
        <v>Eave Height</v>
      </c>
      <c r="B23" s="400">
        <f>RSum!T8</f>
        <v>16</v>
      </c>
    </row>
    <row r="24" spans="1:2" ht="15" customHeight="1" x14ac:dyDescent="0.2">
      <c r="A24" s="59" t="str">
        <f>RSum!Y1</f>
        <v>Loading</v>
      </c>
      <c r="B24" s="63" t="str">
        <f>RSum!Y8</f>
        <v>0 GL/1 DH</v>
      </c>
    </row>
    <row r="25" spans="1:2" ht="15" customHeight="1" x14ac:dyDescent="0.2">
      <c r="A25" s="59" t="str">
        <f>RSum!Z1</f>
        <v>Loading SF</v>
      </c>
      <c r="B25" s="60">
        <f>RSum!Z8</f>
        <v>3628</v>
      </c>
    </row>
    <row r="26" spans="1:2" ht="15" customHeight="1" x14ac:dyDescent="0.2">
      <c r="A26" s="61" t="str">
        <f>RSum!X1</f>
        <v>Building Use</v>
      </c>
      <c r="B26" s="50" t="str">
        <f>RSum!X8</f>
        <v>Industrial</v>
      </c>
    </row>
    <row r="27" spans="1:2" ht="15" customHeight="1" x14ac:dyDescent="0.2">
      <c r="A27" s="61" t="str">
        <f>RSum!AA1</f>
        <v>Other</v>
      </c>
      <c r="B27" s="50" t="str">
        <f>RSum!AA8</f>
        <v>None</v>
      </c>
    </row>
    <row r="28" spans="1:2" ht="15" customHeight="1" x14ac:dyDescent="0.2">
      <c r="A28" s="475" t="s">
        <v>22</v>
      </c>
      <c r="B28" s="475"/>
    </row>
    <row r="29" spans="1:2" ht="15" customHeight="1" x14ac:dyDescent="0.2">
      <c r="A29" s="473" t="str">
        <f>RSum!AC8</f>
        <v xml:space="preserve">This reflects the effective rent for space in a 26,040-square-foot, multi-tenant industrial building located in the Airport 85 Business Park just east of the Billy Graham Parkway/Interstate 85 interchange within the city limits of Charlotte in Mecklenburg County, North Carolina. The unit has approximately 1,200 square feet of office space and one dock-high door. The triple-net lease was executed turn-key with a starting rent of $9.75 per square foot per year and no escalations. The space was on the market for about 10 months with an asking rental rate of $10.00 per square foot.  </v>
      </c>
      <c r="B29" s="473"/>
    </row>
  </sheetData>
  <mergeCells count="7">
    <mergeCell ref="A29:B29"/>
    <mergeCell ref="A1:B1"/>
    <mergeCell ref="A2:B2"/>
    <mergeCell ref="A3:A4"/>
    <mergeCell ref="A6:B6"/>
    <mergeCell ref="A15:B15"/>
    <mergeCell ref="A28:B28"/>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A5CEB-38BD-4F16-9748-14B8ADA6927D}">
  <sheetPr>
    <tabColor rgb="FFC00000"/>
  </sheetPr>
  <dimension ref="A1:B29"/>
  <sheetViews>
    <sheetView workbookViewId="0">
      <selection sqref="A1:B29"/>
    </sheetView>
  </sheetViews>
  <sheetFormatPr baseColWidth="10" defaultColWidth="9.1640625" defaultRowHeight="15" customHeight="1" x14ac:dyDescent="0.2"/>
  <cols>
    <col min="1" max="2" width="22.6640625" style="65" customWidth="1"/>
    <col min="3" max="16384" width="9.1640625" style="65"/>
  </cols>
  <sheetData>
    <row r="1" spans="1:2" ht="15" customHeight="1" x14ac:dyDescent="0.2">
      <c r="A1" s="474" t="s">
        <v>86</v>
      </c>
      <c r="B1" s="474" t="e">
        <f>RG!#REF!</f>
        <v>#REF!</v>
      </c>
    </row>
    <row r="2" spans="1:2" ht="15" customHeight="1" x14ac:dyDescent="0.2">
      <c r="A2" s="475" t="s">
        <v>32</v>
      </c>
      <c r="B2" s="475"/>
    </row>
    <row r="3" spans="1:2" ht="15" customHeight="1" x14ac:dyDescent="0.2">
      <c r="A3" s="473" t="str">
        <f>RSum!B1</f>
        <v>Address</v>
      </c>
      <c r="B3" s="51" t="str">
        <f>RSum!B9</f>
        <v>201 Southside Dr</v>
      </c>
    </row>
    <row r="4" spans="1:2" ht="15" customHeight="1" x14ac:dyDescent="0.2">
      <c r="A4" s="473"/>
      <c r="B4" s="50" t="str">
        <f>RSum!C9</f>
        <v>Charlotte, NC</v>
      </c>
    </row>
    <row r="5" spans="1:2" ht="15" customHeight="1" x14ac:dyDescent="0.2">
      <c r="A5" s="50" t="str">
        <f>RSum!D1</f>
        <v>Parcel No.(s)</v>
      </c>
      <c r="B5" s="51" t="str">
        <f>RSum!D9</f>
        <v>149-031-05</v>
      </c>
    </row>
    <row r="6" spans="1:2" ht="15" customHeight="1" x14ac:dyDescent="0.2">
      <c r="A6" s="475" t="s">
        <v>33</v>
      </c>
      <c r="B6" s="475"/>
    </row>
    <row r="7" spans="1:2" s="203" customFormat="1" ht="15" customHeight="1" x14ac:dyDescent="0.2">
      <c r="A7" s="202" t="str">
        <f>RSum!J1</f>
        <v>Property Rights Conveyed</v>
      </c>
      <c r="B7" s="202" t="str">
        <f>RSum!J9</f>
        <v>Typical</v>
      </c>
    </row>
    <row r="8" spans="1:2" ht="15" customHeight="1" x14ac:dyDescent="0.2">
      <c r="A8" s="52" t="str">
        <f>RSum!E1</f>
        <v>Tenant</v>
      </c>
      <c r="B8" s="53" t="str">
        <f>RSum!E9</f>
        <v>J&amp;B Construction</v>
      </c>
    </row>
    <row r="9" spans="1:2" ht="15" customHeight="1" x14ac:dyDescent="0.2">
      <c r="A9" s="52" t="str">
        <f>RSum!F1</f>
        <v>Lease Type</v>
      </c>
      <c r="B9" s="54" t="str">
        <f>RSum!F9</f>
        <v>Direct</v>
      </c>
    </row>
    <row r="10" spans="1:2" ht="15" customHeight="1" x14ac:dyDescent="0.2">
      <c r="A10" s="52" t="str">
        <f>RSum!G1</f>
        <v>Lease Date</v>
      </c>
      <c r="B10" s="200">
        <f>RSum!G9</f>
        <v>44013</v>
      </c>
    </row>
    <row r="11" spans="1:2" ht="15" customHeight="1" x14ac:dyDescent="0.2">
      <c r="A11" s="52" t="str">
        <f>RSum!H1</f>
        <v>Lease Term</v>
      </c>
      <c r="B11" s="199">
        <f>RSum!H9</f>
        <v>60</v>
      </c>
    </row>
    <row r="12" spans="1:2" ht="15" customHeight="1" x14ac:dyDescent="0.2">
      <c r="A12" s="52" t="str">
        <f>RSum!I1</f>
        <v>Lease Rate (S/SF/Yr)</v>
      </c>
      <c r="B12" s="198">
        <f>RSum!I9</f>
        <v>9.36</v>
      </c>
    </row>
    <row r="13" spans="1:2" ht="15" customHeight="1" x14ac:dyDescent="0.2">
      <c r="A13" s="52" t="str">
        <f>RSum!K1</f>
        <v>Expense Structure</v>
      </c>
      <c r="B13" s="50" t="str">
        <f>RSum!K9</f>
        <v>NNN</v>
      </c>
    </row>
    <row r="14" spans="1:2" ht="15" customHeight="1" x14ac:dyDescent="0.2">
      <c r="A14" s="52" t="str">
        <f>RSum!L1</f>
        <v>Verification</v>
      </c>
      <c r="B14" s="50" t="str">
        <f>RSum!L9</f>
        <v>Listing Broker</v>
      </c>
    </row>
    <row r="15" spans="1:2" ht="15" customHeight="1" x14ac:dyDescent="0.2">
      <c r="A15" s="475" t="s">
        <v>34</v>
      </c>
      <c r="B15" s="475"/>
    </row>
    <row r="16" spans="1:2" ht="15" customHeight="1" x14ac:dyDescent="0.2">
      <c r="A16" s="59" t="str">
        <f>RSum!M1</f>
        <v>Rentable Building Area (SF)</v>
      </c>
      <c r="B16" s="60">
        <f>RSum!M9</f>
        <v>13700</v>
      </c>
    </row>
    <row r="17" spans="1:2" ht="15" customHeight="1" x14ac:dyDescent="0.2">
      <c r="A17" s="61" t="str">
        <f>RSum!O1</f>
        <v>Year Built</v>
      </c>
      <c r="B17" s="50">
        <f>RSum!O9</f>
        <v>1967</v>
      </c>
    </row>
    <row r="18" spans="1:2" ht="15" customHeight="1" x14ac:dyDescent="0.2">
      <c r="A18" s="59" t="str">
        <f>RSum!R1</f>
        <v>Quality</v>
      </c>
      <c r="B18" s="62" t="str">
        <f>RSum!R9</f>
        <v>Average</v>
      </c>
    </row>
    <row r="19" spans="1:2" ht="15" customHeight="1" x14ac:dyDescent="0.2">
      <c r="A19" s="59" t="str">
        <f>RSum!S1</f>
        <v>Effective Age/Condition</v>
      </c>
      <c r="B19" s="64">
        <f>RSum!S9</f>
        <v>10</v>
      </c>
    </row>
    <row r="20" spans="1:2" ht="15" customHeight="1" x14ac:dyDescent="0.2">
      <c r="A20" s="59" t="str">
        <f>RSum!Q1</f>
        <v>Finished Ratio</v>
      </c>
      <c r="B20" s="444">
        <f>RSum!Q9</f>
        <v>0.23</v>
      </c>
    </row>
    <row r="21" spans="1:2" ht="15" customHeight="1" x14ac:dyDescent="0.2">
      <c r="A21" s="59" t="str">
        <f>RSum!U1</f>
        <v>Access</v>
      </c>
      <c r="B21" s="60" t="str">
        <f>RSum!U9</f>
        <v>Good</v>
      </c>
    </row>
    <row r="22" spans="1:2" ht="15" customHeight="1" x14ac:dyDescent="0.2">
      <c r="A22" s="59" t="str">
        <f>RSum!W1</f>
        <v>Parking Ratio</v>
      </c>
      <c r="B22" s="63">
        <f>RSum!W9</f>
        <v>0.65693430656934315</v>
      </c>
    </row>
    <row r="23" spans="1:2" ht="15" customHeight="1" x14ac:dyDescent="0.2">
      <c r="A23" s="59" t="str">
        <f>RSum!T1</f>
        <v>Eave Height</v>
      </c>
      <c r="B23" s="400">
        <f>RSum!T9</f>
        <v>16</v>
      </c>
    </row>
    <row r="24" spans="1:2" ht="15" customHeight="1" x14ac:dyDescent="0.2">
      <c r="A24" s="59" t="str">
        <f>RSum!Y1</f>
        <v>Loading</v>
      </c>
      <c r="B24" s="63" t="str">
        <f>RSum!Y9</f>
        <v>0 GL/2 DH</v>
      </c>
    </row>
    <row r="25" spans="1:2" ht="15" customHeight="1" x14ac:dyDescent="0.2">
      <c r="A25" s="59" t="str">
        <f>RSum!Z1</f>
        <v>Loading SF</v>
      </c>
      <c r="B25" s="60">
        <f>RSum!Z9</f>
        <v>6850</v>
      </c>
    </row>
    <row r="26" spans="1:2" ht="15" customHeight="1" x14ac:dyDescent="0.2">
      <c r="A26" s="61" t="str">
        <f>RSum!X1</f>
        <v>Building Use</v>
      </c>
      <c r="B26" s="50" t="str">
        <f>RSum!X9</f>
        <v>Industrial</v>
      </c>
    </row>
    <row r="27" spans="1:2" ht="15" customHeight="1" x14ac:dyDescent="0.2">
      <c r="A27" s="61" t="str">
        <f>RSum!AA1</f>
        <v>Other</v>
      </c>
      <c r="B27" s="50" t="str">
        <f>RSum!AA9</f>
        <v>None</v>
      </c>
    </row>
    <row r="28" spans="1:2" ht="15" customHeight="1" x14ac:dyDescent="0.2">
      <c r="A28" s="475" t="s">
        <v>22</v>
      </c>
      <c r="B28" s="475"/>
    </row>
    <row r="29" spans="1:2" ht="15" customHeight="1" x14ac:dyDescent="0.2">
      <c r="A29" s="473" t="str">
        <f>RSum!AC9</f>
        <v>This reflects the effective rent for space in a 13,700-square-foot, freestanding industrial building located just northeast of the Billy Graham Parkway/Interstate 77 interchange with the city limits of Charlotte in Mecklenburg County, North Carolina. The building is demised into 3,151 square feet of office space and 10,549 square feet of warehouse space with two dock-high doors. The triple-net lease was executed turn-key with a starting rent of $9.36 per square foot per year and no escalations.</v>
      </c>
      <c r="B29" s="473"/>
    </row>
  </sheetData>
  <mergeCells count="7">
    <mergeCell ref="A29:B29"/>
    <mergeCell ref="A1:B1"/>
    <mergeCell ref="A2:B2"/>
    <mergeCell ref="A3:A4"/>
    <mergeCell ref="A6:B6"/>
    <mergeCell ref="A15:B15"/>
    <mergeCell ref="A28:B28"/>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DF6A2-A3D2-4B77-9F3B-A774A78527EB}">
  <sheetPr>
    <tabColor rgb="FFC00000"/>
  </sheetPr>
  <dimension ref="A2:G9"/>
  <sheetViews>
    <sheetView workbookViewId="0">
      <selection activeCell="F15" sqref="F15"/>
    </sheetView>
  </sheetViews>
  <sheetFormatPr baseColWidth="10" defaultColWidth="9.1640625" defaultRowHeight="17" customHeight="1" x14ac:dyDescent="0.2"/>
  <cols>
    <col min="1" max="1" width="9.33203125" style="124" bestFit="1" customWidth="1"/>
    <col min="2" max="2" width="9.1640625" style="124"/>
    <col min="3" max="3" width="9.1640625" style="125"/>
    <col min="4" max="4" width="19.5" style="125" customWidth="1"/>
    <col min="5" max="5" width="25.5" style="125" customWidth="1"/>
    <col min="6" max="6" width="20" style="125" customWidth="1"/>
    <col min="7" max="7" width="24.1640625" style="125" customWidth="1"/>
    <col min="8" max="8" width="9.1640625" style="125"/>
    <col min="9" max="9" width="10.5" style="125" customWidth="1"/>
    <col min="10" max="10" width="18.5" style="125" bestFit="1" customWidth="1"/>
    <col min="11" max="11" width="16.33203125" style="125" bestFit="1" customWidth="1"/>
    <col min="12" max="13" width="15.1640625" style="125" bestFit="1" customWidth="1"/>
    <col min="14" max="14" width="17.1640625" style="125" bestFit="1" customWidth="1"/>
    <col min="15" max="16384" width="9.1640625" style="125"/>
  </cols>
  <sheetData>
    <row r="2" spans="1:7" ht="17" customHeight="1" x14ac:dyDescent="0.2">
      <c r="A2" s="124" t="s">
        <v>62</v>
      </c>
    </row>
    <row r="4" spans="1:7" ht="17" customHeight="1" x14ac:dyDescent="0.2">
      <c r="A4" s="124" t="s">
        <v>26</v>
      </c>
      <c r="B4" s="145">
        <f>RG!C31</f>
        <v>16268</v>
      </c>
      <c r="D4" s="126"/>
      <c r="E4" s="204" t="str">
        <f>RSum!M1</f>
        <v>Rentable Building Area (SF)</v>
      </c>
      <c r="F4" s="127" t="s">
        <v>63</v>
      </c>
      <c r="G4" s="127" t="s">
        <v>64</v>
      </c>
    </row>
    <row r="5" spans="1:7" ht="17" customHeight="1" x14ac:dyDescent="0.2">
      <c r="A5" s="124" t="s">
        <v>72</v>
      </c>
      <c r="B5" s="146">
        <v>-0.1</v>
      </c>
      <c r="D5" s="128" t="s">
        <v>88</v>
      </c>
      <c r="E5" s="129">
        <f>RG!D31</f>
        <v>18090</v>
      </c>
      <c r="F5" s="129">
        <f>ABS(E5-$B$4)</f>
        <v>1822</v>
      </c>
      <c r="G5" s="130">
        <f>F5/F9*B5*-1</f>
        <v>1.4414556962025316E-2</v>
      </c>
    </row>
    <row r="6" spans="1:7" ht="17" customHeight="1" x14ac:dyDescent="0.2">
      <c r="D6" s="128" t="s">
        <v>87</v>
      </c>
      <c r="E6" s="129">
        <f>RG!E31</f>
        <v>16492</v>
      </c>
      <c r="F6" s="129">
        <f>ABS(E6-$B$4)</f>
        <v>224</v>
      </c>
      <c r="G6" s="130">
        <f>F6/F9*B5*-1</f>
        <v>1.7721518987341774E-3</v>
      </c>
    </row>
    <row r="7" spans="1:7" ht="17" customHeight="1" x14ac:dyDescent="0.2">
      <c r="D7" s="131" t="s">
        <v>26</v>
      </c>
      <c r="E7" s="132">
        <f>RG!C31</f>
        <v>16268</v>
      </c>
      <c r="F7" s="132" t="s">
        <v>65</v>
      </c>
      <c r="G7" s="133" t="s">
        <v>65</v>
      </c>
    </row>
    <row r="8" spans="1:7" ht="17" customHeight="1" x14ac:dyDescent="0.2">
      <c r="D8" s="128" t="s">
        <v>89</v>
      </c>
      <c r="E8" s="129">
        <f>RG!G31</f>
        <v>13700</v>
      </c>
      <c r="F8" s="129">
        <f>ABS(E8-$B$4)</f>
        <v>2568</v>
      </c>
      <c r="G8" s="130">
        <f>F8/F9*B5</f>
        <v>-2.0316455696202534E-2</v>
      </c>
    </row>
    <row r="9" spans="1:7" ht="17" customHeight="1" x14ac:dyDescent="0.2">
      <c r="D9" s="128" t="s">
        <v>90</v>
      </c>
      <c r="E9" s="129">
        <f>RG!F31</f>
        <v>3628</v>
      </c>
      <c r="F9" s="129">
        <f>ABS(E9-$B$4)</f>
        <v>12640</v>
      </c>
      <c r="G9" s="130">
        <f>B5</f>
        <v>-0.1</v>
      </c>
    </row>
  </sheetData>
  <sortState xmlns:xlrd2="http://schemas.microsoft.com/office/spreadsheetml/2017/richdata2" ref="D5:G9">
    <sortCondition descending="1" ref="E5:E9"/>
  </sortState>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536B-FF86-4C3C-813D-F8513DF886E6}">
  <sheetPr>
    <tabColor rgb="FFC00000"/>
  </sheetPr>
  <dimension ref="A1:K80"/>
  <sheetViews>
    <sheetView topLeftCell="A41" workbookViewId="0">
      <selection activeCell="D14" sqref="D14"/>
    </sheetView>
  </sheetViews>
  <sheetFormatPr baseColWidth="10" defaultColWidth="9.1640625" defaultRowHeight="12" x14ac:dyDescent="0.2"/>
  <cols>
    <col min="1" max="1" width="9.1640625" style="461"/>
    <col min="2" max="2" width="23.83203125" style="461" customWidth="1"/>
    <col min="3" max="3" width="20.5" style="47" customWidth="1"/>
    <col min="4" max="4" width="19" style="461" customWidth="1"/>
    <col min="5" max="5" width="17.6640625" style="461" customWidth="1"/>
    <col min="6" max="6" width="18.83203125" style="461" customWidth="1"/>
    <col min="7" max="7" width="23.33203125" style="461" customWidth="1"/>
    <col min="8" max="8" width="3.5" style="461" customWidth="1"/>
    <col min="9" max="9" width="32.5" style="461" customWidth="1"/>
    <col min="10" max="10" width="26.1640625" style="461" customWidth="1"/>
    <col min="11" max="11" width="30.6640625" style="461" customWidth="1"/>
    <col min="12" max="16384" width="9.1640625" style="461"/>
  </cols>
  <sheetData>
    <row r="1" spans="2:9" s="460" customFormat="1" ht="13" x14ac:dyDescent="0.2">
      <c r="B1" s="66"/>
      <c r="C1" s="67" t="s">
        <v>26</v>
      </c>
      <c r="D1" s="67" t="s">
        <v>88</v>
      </c>
      <c r="E1" s="67" t="s">
        <v>87</v>
      </c>
      <c r="F1" s="67" t="s">
        <v>90</v>
      </c>
      <c r="G1" s="68" t="s">
        <v>89</v>
      </c>
    </row>
    <row r="2" spans="2:9" ht="13" x14ac:dyDescent="0.2">
      <c r="B2" s="70" t="s">
        <v>32</v>
      </c>
      <c r="C2" s="71"/>
      <c r="D2" s="71"/>
      <c r="E2" s="71"/>
      <c r="F2" s="71"/>
      <c r="G2" s="71"/>
    </row>
    <row r="3" spans="2:9" ht="15" x14ac:dyDescent="0.2">
      <c r="B3" s="478" t="s">
        <v>1</v>
      </c>
      <c r="C3" s="73" t="str">
        <f>RSum!B3</f>
        <v>4735 Dwight Evans Rd</v>
      </c>
      <c r="D3" s="73" t="str">
        <f>'R1'!B3</f>
        <v>647 Michael Wylie Dr</v>
      </c>
      <c r="E3" s="73" t="str">
        <f>'R2'!B3</f>
        <v>3300 Oak Lake Blvd</v>
      </c>
      <c r="F3" s="73" t="str">
        <f>'R3'!B3</f>
        <v>2732 Interstate St, Ste F</v>
      </c>
      <c r="G3" s="73" t="str">
        <f>'R4'!B3</f>
        <v>201 Southside Dr</v>
      </c>
      <c r="I3" s="462"/>
    </row>
    <row r="4" spans="2:9" ht="13" x14ac:dyDescent="0.2">
      <c r="B4" s="478"/>
      <c r="C4" s="73" t="str">
        <f>RSum!C3</f>
        <v>Charlotte, NC</v>
      </c>
      <c r="D4" s="73" t="str">
        <f>'R1'!B4</f>
        <v>Charlotte, NC</v>
      </c>
      <c r="E4" s="73" t="str">
        <f>'R2'!B4</f>
        <v>Charlotte, NC</v>
      </c>
      <c r="F4" s="73" t="str">
        <f>'R3'!B4</f>
        <v>Charlotte, NC</v>
      </c>
      <c r="G4" s="73" t="str">
        <f>'R4'!B4</f>
        <v>Charlotte, NC</v>
      </c>
    </row>
    <row r="5" spans="2:9" ht="13" x14ac:dyDescent="0.2">
      <c r="B5" s="76" t="s">
        <v>3</v>
      </c>
      <c r="C5" s="77" t="str">
        <f>RSum!D3</f>
        <v>145-301-22</v>
      </c>
      <c r="D5" s="73" t="str">
        <f>'R1'!B5</f>
        <v>145-271-21</v>
      </c>
      <c r="E5" s="73" t="str">
        <f>'R2'!B5</f>
        <v>143-261-05</v>
      </c>
      <c r="F5" s="73" t="str">
        <f>'R3'!B5</f>
        <v>061-123-12</v>
      </c>
      <c r="G5" s="73" t="str">
        <f>'R4'!B5</f>
        <v>149-031-05</v>
      </c>
    </row>
    <row r="6" spans="2:9" ht="13" x14ac:dyDescent="0.2">
      <c r="B6" s="70" t="s">
        <v>33</v>
      </c>
      <c r="C6" s="71"/>
      <c r="D6" s="71"/>
      <c r="E6" s="71"/>
      <c r="F6" s="71"/>
      <c r="G6" s="71"/>
    </row>
    <row r="7" spans="2:9" ht="13" x14ac:dyDescent="0.2">
      <c r="B7" s="76" t="str">
        <f>RSum!E1</f>
        <v>Tenant</v>
      </c>
      <c r="C7" s="74"/>
      <c r="D7" s="78" t="str">
        <f>'R1'!B8</f>
        <v>Renner</v>
      </c>
      <c r="E7" s="78" t="str">
        <f>'R2'!B8</f>
        <v>Zoe Baby Products</v>
      </c>
      <c r="F7" s="78" t="str">
        <f>'R3'!B8</f>
        <v>Confidential</v>
      </c>
      <c r="G7" s="78" t="str">
        <f>'R4'!B8</f>
        <v>J&amp;B Construction</v>
      </c>
    </row>
    <row r="8" spans="2:9" ht="13" x14ac:dyDescent="0.2">
      <c r="B8" s="76" t="str">
        <f>RSum!F1</f>
        <v>Lease Type</v>
      </c>
      <c r="C8" s="74"/>
      <c r="D8" s="80" t="str">
        <f>'R1'!B9</f>
        <v>Direct</v>
      </c>
      <c r="E8" s="80" t="str">
        <f>'R2'!B9</f>
        <v>Direct</v>
      </c>
      <c r="F8" s="80" t="str">
        <f>'R3'!B9</f>
        <v>Direct</v>
      </c>
      <c r="G8" s="80" t="str">
        <f>'R4'!B9</f>
        <v>Direct</v>
      </c>
    </row>
    <row r="9" spans="2:9" ht="13" x14ac:dyDescent="0.2">
      <c r="B9" s="76" t="str">
        <f>RSum!G1</f>
        <v>Lease Date</v>
      </c>
      <c r="C9" s="74"/>
      <c r="D9" s="228">
        <f>'R1'!B10</f>
        <v>44409</v>
      </c>
      <c r="E9" s="228">
        <f>'R2'!B10</f>
        <v>44256</v>
      </c>
      <c r="F9" s="228">
        <f>'R3'!B10</f>
        <v>44348</v>
      </c>
      <c r="G9" s="227">
        <f>'R4'!B10</f>
        <v>44013</v>
      </c>
    </row>
    <row r="10" spans="2:9" ht="13" x14ac:dyDescent="0.2">
      <c r="B10" s="76" t="str">
        <f>RSum!H1</f>
        <v>Lease Term</v>
      </c>
      <c r="C10" s="74"/>
      <c r="D10" s="226">
        <f>'R1'!B11</f>
        <v>120</v>
      </c>
      <c r="E10" s="226">
        <f>'R2'!B11</f>
        <v>72</v>
      </c>
      <c r="F10" s="226">
        <f>'R3'!B11</f>
        <v>36</v>
      </c>
      <c r="G10" s="226">
        <f>'R4'!B11</f>
        <v>60</v>
      </c>
    </row>
    <row r="11" spans="2:9" ht="13" x14ac:dyDescent="0.2">
      <c r="B11" s="76" t="str">
        <f>RSum!I1</f>
        <v>Lease Rate (S/SF/Yr)</v>
      </c>
      <c r="C11" s="74"/>
      <c r="D11" s="82">
        <f>'R1'!B12</f>
        <v>11.24</v>
      </c>
      <c r="E11" s="82">
        <f>'R2'!B12</f>
        <v>8.51</v>
      </c>
      <c r="F11" s="82">
        <f>'R3'!B12</f>
        <v>9.76</v>
      </c>
      <c r="G11" s="82">
        <f>'R4'!B12</f>
        <v>9.36</v>
      </c>
    </row>
    <row r="12" spans="2:9" ht="13" x14ac:dyDescent="0.2">
      <c r="B12" s="76" t="str">
        <f>RSum!K1</f>
        <v>Expense Structure</v>
      </c>
      <c r="C12" s="74"/>
      <c r="D12" s="78" t="str">
        <f>'R1'!B13</f>
        <v>NNN</v>
      </c>
      <c r="E12" s="78" t="str">
        <f>'R2'!B13</f>
        <v>NNN</v>
      </c>
      <c r="F12" s="78" t="str">
        <f>'R3'!B13</f>
        <v>NNN</v>
      </c>
      <c r="G12" s="78" t="str">
        <f>'R4'!B13</f>
        <v>NNN</v>
      </c>
    </row>
    <row r="13" spans="2:9" ht="13" x14ac:dyDescent="0.2">
      <c r="B13" s="70" t="s">
        <v>34</v>
      </c>
      <c r="C13" s="71"/>
      <c r="D13" s="71"/>
      <c r="E13" s="71"/>
      <c r="F13" s="71"/>
      <c r="G13" s="71"/>
    </row>
    <row r="14" spans="2:9" ht="13" x14ac:dyDescent="0.2">
      <c r="B14" s="86" t="str">
        <f>RSum!M1</f>
        <v>Rentable Building Area (SF)</v>
      </c>
      <c r="C14" s="87">
        <f>RSum!M3</f>
        <v>16268</v>
      </c>
      <c r="D14" s="87">
        <f>'R1'!B16</f>
        <v>18090</v>
      </c>
      <c r="E14" s="87">
        <f>'R2'!B16</f>
        <v>16492</v>
      </c>
      <c r="F14" s="87">
        <f>'R3'!B16</f>
        <v>3628</v>
      </c>
      <c r="G14" s="87">
        <f>'R4'!B16</f>
        <v>13700</v>
      </c>
    </row>
    <row r="15" spans="2:9" ht="13" x14ac:dyDescent="0.2">
      <c r="B15" s="89" t="str">
        <f>RSum!O1</f>
        <v>Year Built</v>
      </c>
      <c r="C15" s="73">
        <f>RSum!O3</f>
        <v>1989</v>
      </c>
      <c r="D15" s="73">
        <f>'R1'!B17</f>
        <v>1982</v>
      </c>
      <c r="E15" s="73">
        <f>'R2'!B17</f>
        <v>1998</v>
      </c>
      <c r="F15" s="73">
        <f>'R3'!B17</f>
        <v>1983</v>
      </c>
      <c r="G15" s="73">
        <f>'R4'!B17</f>
        <v>1967</v>
      </c>
    </row>
    <row r="16" spans="2:9" ht="13" x14ac:dyDescent="0.2">
      <c r="B16" s="86" t="str">
        <f>RSum!R1</f>
        <v>Quality</v>
      </c>
      <c r="C16" s="90" t="str">
        <f>RSum!R3</f>
        <v>Average</v>
      </c>
      <c r="D16" s="90" t="str">
        <f>'R1'!B18</f>
        <v>Good</v>
      </c>
      <c r="E16" s="90" t="str">
        <f>'R2'!B18</f>
        <v>Good</v>
      </c>
      <c r="F16" s="90" t="str">
        <f>'R3'!B18</f>
        <v>Good</v>
      </c>
      <c r="G16" s="90" t="str">
        <f>'R4'!B18</f>
        <v>Average</v>
      </c>
    </row>
    <row r="17" spans="1:9" ht="13" x14ac:dyDescent="0.2">
      <c r="B17" s="86" t="str">
        <f>RSum!S1</f>
        <v>Effective Age/Condition</v>
      </c>
      <c r="C17" s="92">
        <f>RSum!S3</f>
        <v>10</v>
      </c>
      <c r="D17" s="92">
        <f>'R1'!B19</f>
        <v>5</v>
      </c>
      <c r="E17" s="93">
        <f>'R2'!B19</f>
        <v>7</v>
      </c>
      <c r="F17" s="93">
        <f>'R3'!B19</f>
        <v>10</v>
      </c>
      <c r="G17" s="92">
        <f>'R4'!B19</f>
        <v>10</v>
      </c>
    </row>
    <row r="18" spans="1:9" ht="13" x14ac:dyDescent="0.2">
      <c r="B18" s="86" t="str">
        <f>RSum!U1</f>
        <v>Access</v>
      </c>
      <c r="C18" s="87" t="str">
        <f>RSum!U3</f>
        <v>Good</v>
      </c>
      <c r="D18" s="87" t="str">
        <f>'R1'!B21</f>
        <v>Good</v>
      </c>
      <c r="E18" s="87" t="str">
        <f>'R2'!B21</f>
        <v>Good</v>
      </c>
      <c r="F18" s="87" t="str">
        <f>'R3'!B21</f>
        <v>Good</v>
      </c>
      <c r="G18" s="87" t="str">
        <f>'R4'!B21</f>
        <v>Good</v>
      </c>
    </row>
    <row r="19" spans="1:9" ht="13" x14ac:dyDescent="0.2">
      <c r="B19" s="86" t="str">
        <f>RSum!Q1</f>
        <v>Finished Ratio</v>
      </c>
      <c r="C19" s="397">
        <f>RSum!Q3</f>
        <v>7.4317678878780422E-2</v>
      </c>
      <c r="D19" s="397">
        <f>RSum!Q6</f>
        <v>0.10945273631840796</v>
      </c>
      <c r="E19" s="397">
        <f>RSum!Q7</f>
        <v>8.9983022071307303E-2</v>
      </c>
      <c r="F19" s="397">
        <f>RSum!Q8</f>
        <v>0.33076074972436603</v>
      </c>
      <c r="G19" s="397">
        <f>RSum!Q9</f>
        <v>0.23</v>
      </c>
    </row>
    <row r="20" spans="1:9" ht="13" x14ac:dyDescent="0.2">
      <c r="B20" s="86" t="str">
        <f>RSum!W1</f>
        <v>Parking Ratio</v>
      </c>
      <c r="C20" s="91">
        <f>RSum!W3</f>
        <v>0.91727241259951542</v>
      </c>
      <c r="D20" s="91">
        <f>'R1'!B22</f>
        <v>0.9397457158651189</v>
      </c>
      <c r="E20" s="91">
        <f>'R2'!B22</f>
        <v>0.54571913655105497</v>
      </c>
      <c r="F20" s="91">
        <f>'R3'!B22</f>
        <v>2.1121351766513059</v>
      </c>
      <c r="G20" s="91">
        <f>'R4'!B22</f>
        <v>0.65693430656934315</v>
      </c>
    </row>
    <row r="21" spans="1:9" ht="13" x14ac:dyDescent="0.2">
      <c r="B21" s="86" t="str">
        <f>RSum!T1</f>
        <v>Eave Height</v>
      </c>
      <c r="C21" s="403">
        <f>RSum!T3</f>
        <v>18</v>
      </c>
      <c r="D21" s="403">
        <f>RSum!T6</f>
        <v>15</v>
      </c>
      <c r="E21" s="403">
        <f>RSum!T7</f>
        <v>16</v>
      </c>
      <c r="F21" s="403">
        <f>RSum!T8</f>
        <v>16</v>
      </c>
      <c r="G21" s="403">
        <f>RSum!T9</f>
        <v>16</v>
      </c>
    </row>
    <row r="22" spans="1:9" ht="13" x14ac:dyDescent="0.2">
      <c r="B22" s="86" t="str">
        <f>RSum!Y1</f>
        <v>Loading</v>
      </c>
      <c r="C22" s="403" t="str">
        <f>RSum!Y3</f>
        <v>0 GL/3 DH</v>
      </c>
      <c r="D22" s="403" t="str">
        <f>RSum!Y6</f>
        <v>2 GL/2 DH</v>
      </c>
      <c r="E22" s="403" t="str">
        <f>RSum!Y7</f>
        <v>1 GL/1 DH</v>
      </c>
      <c r="F22" s="403" t="str">
        <f>RSum!Y8</f>
        <v>0 GL/1 DH</v>
      </c>
      <c r="G22" s="403" t="str">
        <f>RSum!Y9</f>
        <v>0 GL/2 DH</v>
      </c>
    </row>
    <row r="23" spans="1:9" ht="13" x14ac:dyDescent="0.2">
      <c r="B23" s="86" t="str">
        <f>RSum!Z1</f>
        <v>Loading SF</v>
      </c>
      <c r="C23" s="87">
        <f>RSum!Z3</f>
        <v>5422.666666666667</v>
      </c>
      <c r="D23" s="87">
        <f>RSum!Z6</f>
        <v>4522.5</v>
      </c>
      <c r="E23" s="87">
        <f>RSum!Z7</f>
        <v>8246</v>
      </c>
      <c r="F23" s="87">
        <f>RSum!Z8</f>
        <v>3628</v>
      </c>
      <c r="G23" s="87">
        <f>RSum!Z9</f>
        <v>6850</v>
      </c>
    </row>
    <row r="24" spans="1:9" ht="13" x14ac:dyDescent="0.2">
      <c r="A24" s="47"/>
      <c r="B24" s="89" t="str">
        <f>RSum!X1</f>
        <v>Building Use</v>
      </c>
      <c r="C24" s="87" t="str">
        <f>RSum!X3</f>
        <v>Industrial</v>
      </c>
      <c r="D24" s="87" t="str">
        <f>'R1'!B26</f>
        <v>Industrial</v>
      </c>
      <c r="E24" s="87" t="str">
        <f>'R2'!B26</f>
        <v>Industrial</v>
      </c>
      <c r="F24" s="87" t="str">
        <f>'R3'!B26</f>
        <v>Industrial</v>
      </c>
      <c r="G24" s="87" t="str">
        <f>'R4'!B26</f>
        <v>Industrial</v>
      </c>
    </row>
    <row r="25" spans="1:9" ht="13" x14ac:dyDescent="0.2">
      <c r="B25" s="89" t="str">
        <f>RSum!AA1</f>
        <v>Other</v>
      </c>
      <c r="C25" s="87" t="str">
        <f>RSum!AA3</f>
        <v>None</v>
      </c>
      <c r="D25" s="87" t="str">
        <f>'R1'!B27</f>
        <v>None</v>
      </c>
      <c r="E25" s="87" t="str">
        <f>'R2'!B27</f>
        <v>None</v>
      </c>
      <c r="F25" s="87" t="str">
        <f>'R3'!B27</f>
        <v>None</v>
      </c>
      <c r="G25" s="87" t="str">
        <f>'R4'!B27</f>
        <v>None</v>
      </c>
    </row>
    <row r="26" spans="1:9" s="463" customFormat="1" x14ac:dyDescent="0.2">
      <c r="B26" s="95"/>
      <c r="C26" s="96"/>
      <c r="D26" s="96"/>
      <c r="E26" s="96"/>
      <c r="F26" s="96"/>
      <c r="G26" s="96"/>
    </row>
    <row r="27" spans="1:9" s="463" customFormat="1" x14ac:dyDescent="0.2">
      <c r="C27" s="97"/>
      <c r="D27" s="98"/>
      <c r="E27" s="98"/>
      <c r="F27" s="98"/>
      <c r="G27" s="98"/>
    </row>
    <row r="28" spans="1:9" s="460" customFormat="1" ht="13" x14ac:dyDescent="0.2">
      <c r="B28" s="99"/>
      <c r="C28" s="100" t="s">
        <v>26</v>
      </c>
      <c r="D28" s="100" t="str">
        <f>D1</f>
        <v>Rental 1</v>
      </c>
      <c r="E28" s="100" t="str">
        <f>E1</f>
        <v>Rental 2</v>
      </c>
      <c r="F28" s="100" t="str">
        <f>F1</f>
        <v>Rental 3</v>
      </c>
      <c r="G28" s="100" t="str">
        <f>G1</f>
        <v>Rental 4</v>
      </c>
    </row>
    <row r="29" spans="1:9" ht="15" x14ac:dyDescent="0.2">
      <c r="B29" s="479" t="s">
        <v>1</v>
      </c>
      <c r="C29" s="74" t="str">
        <f t="shared" ref="C29:G30" si="0">C3</f>
        <v>4735 Dwight Evans Rd</v>
      </c>
      <c r="D29" s="74" t="str">
        <f t="shared" si="0"/>
        <v>647 Michael Wylie Dr</v>
      </c>
      <c r="E29" s="74" t="str">
        <f t="shared" si="0"/>
        <v>3300 Oak Lake Blvd</v>
      </c>
      <c r="F29" s="74" t="str">
        <f t="shared" si="0"/>
        <v>2732 Interstate St, Ste F</v>
      </c>
      <c r="G29" s="74" t="str">
        <f t="shared" si="0"/>
        <v>201 Southside Dr</v>
      </c>
      <c r="I29" s="464"/>
    </row>
    <row r="30" spans="1:9" ht="13" x14ac:dyDescent="0.2">
      <c r="B30" s="479"/>
      <c r="C30" s="74" t="str">
        <f t="shared" si="0"/>
        <v>Charlotte, NC</v>
      </c>
      <c r="D30" s="74" t="str">
        <f t="shared" si="0"/>
        <v>Charlotte, NC</v>
      </c>
      <c r="E30" s="74" t="str">
        <f t="shared" si="0"/>
        <v>Charlotte, NC</v>
      </c>
      <c r="F30" s="74" t="str">
        <f t="shared" si="0"/>
        <v>Charlotte, NC</v>
      </c>
      <c r="G30" s="74" t="str">
        <f t="shared" si="0"/>
        <v>Charlotte, NC</v>
      </c>
    </row>
    <row r="31" spans="1:9" ht="13" x14ac:dyDescent="0.2">
      <c r="B31" s="225" t="str">
        <f t="shared" ref="B31:G31" si="1">B14</f>
        <v>Rentable Building Area (SF)</v>
      </c>
      <c r="C31" s="88">
        <f t="shared" si="1"/>
        <v>16268</v>
      </c>
      <c r="D31" s="88">
        <f>D14</f>
        <v>18090</v>
      </c>
      <c r="E31" s="88">
        <f t="shared" si="1"/>
        <v>16492</v>
      </c>
      <c r="F31" s="88">
        <f t="shared" si="1"/>
        <v>3628</v>
      </c>
      <c r="G31" s="88">
        <f t="shared" si="1"/>
        <v>13700</v>
      </c>
    </row>
    <row r="32" spans="1:9" s="465" customFormat="1" ht="13" x14ac:dyDescent="0.2">
      <c r="B32" s="103" t="str">
        <f>B11</f>
        <v>Lease Rate (S/SF/Yr)</v>
      </c>
      <c r="C32" s="81"/>
      <c r="D32" s="105">
        <f>D11</f>
        <v>11.24</v>
      </c>
      <c r="E32" s="105">
        <f>E11</f>
        <v>8.51</v>
      </c>
      <c r="F32" s="105">
        <f>F11</f>
        <v>9.76</v>
      </c>
      <c r="G32" s="105">
        <f>G11</f>
        <v>9.36</v>
      </c>
    </row>
    <row r="33" spans="2:7" ht="13" x14ac:dyDescent="0.2">
      <c r="B33" s="99" t="s">
        <v>45</v>
      </c>
      <c r="C33" s="71"/>
      <c r="D33" s="71"/>
      <c r="E33" s="71"/>
      <c r="F33" s="71"/>
      <c r="G33" s="71"/>
    </row>
    <row r="34" spans="2:7" ht="13" x14ac:dyDescent="0.2">
      <c r="B34" s="104" t="str">
        <f>RSum!J1</f>
        <v>Property Rights Conveyed</v>
      </c>
      <c r="C34" s="74"/>
      <c r="D34" s="74" t="str">
        <f>'R1'!B7</f>
        <v>Typical</v>
      </c>
      <c r="E34" s="74" t="str">
        <f>'R2'!B7</f>
        <v>Typical</v>
      </c>
      <c r="F34" s="74" t="str">
        <f>'R3'!B7</f>
        <v>Typical</v>
      </c>
      <c r="G34" s="74" t="str">
        <f>'R4'!B7</f>
        <v>Typical</v>
      </c>
    </row>
    <row r="35" spans="2:7" s="466" customFormat="1" ht="13" x14ac:dyDescent="0.2">
      <c r="B35" s="106" t="s">
        <v>46</v>
      </c>
      <c r="C35" s="107"/>
      <c r="D35" s="224">
        <v>0</v>
      </c>
      <c r="E35" s="224">
        <v>0</v>
      </c>
      <c r="F35" s="224">
        <v>0</v>
      </c>
      <c r="G35" s="224">
        <v>0</v>
      </c>
    </row>
    <row r="36" spans="2:7" s="465" customFormat="1" ht="13" x14ac:dyDescent="0.2">
      <c r="B36" s="103" t="s">
        <v>108</v>
      </c>
      <c r="C36" s="81"/>
      <c r="D36" s="105">
        <f t="shared" ref="D36:G36" si="2">IF(D35&lt;&gt;0,D32+D35,D32)</f>
        <v>11.24</v>
      </c>
      <c r="E36" s="105">
        <f t="shared" si="2"/>
        <v>8.51</v>
      </c>
      <c r="F36" s="105">
        <f t="shared" si="2"/>
        <v>9.76</v>
      </c>
      <c r="G36" s="105">
        <f t="shared" si="2"/>
        <v>9.36</v>
      </c>
    </row>
    <row r="37" spans="2:7" ht="13" x14ac:dyDescent="0.2">
      <c r="B37" s="104" t="s">
        <v>107</v>
      </c>
      <c r="C37" s="74"/>
      <c r="D37" s="79" t="str">
        <f>D12</f>
        <v>NNN</v>
      </c>
      <c r="E37" s="79" t="str">
        <f>E12</f>
        <v>NNN</v>
      </c>
      <c r="F37" s="79" t="str">
        <f>F12</f>
        <v>NNN</v>
      </c>
      <c r="G37" s="79" t="str">
        <f>G12</f>
        <v>NNN</v>
      </c>
    </row>
    <row r="38" spans="2:7" s="466" customFormat="1" ht="13" x14ac:dyDescent="0.2">
      <c r="B38" s="106" t="s">
        <v>46</v>
      </c>
      <c r="C38" s="107"/>
      <c r="D38" s="224">
        <v>0</v>
      </c>
      <c r="E38" s="224">
        <v>0</v>
      </c>
      <c r="F38" s="224">
        <v>0</v>
      </c>
      <c r="G38" s="224">
        <v>0</v>
      </c>
    </row>
    <row r="39" spans="2:7" s="465" customFormat="1" ht="13" x14ac:dyDescent="0.2">
      <c r="B39" s="103" t="str">
        <f>B36</f>
        <v>Adjusted Rent/SF/Yr</v>
      </c>
      <c r="C39" s="81"/>
      <c r="D39" s="105">
        <f t="shared" ref="D39:G39" si="3">IF(D38&lt;&gt;0,D36+D38,D36)</f>
        <v>11.24</v>
      </c>
      <c r="E39" s="105">
        <f t="shared" si="3"/>
        <v>8.51</v>
      </c>
      <c r="F39" s="105">
        <f t="shared" si="3"/>
        <v>9.76</v>
      </c>
      <c r="G39" s="105">
        <f t="shared" si="3"/>
        <v>9.36</v>
      </c>
    </row>
    <row r="40" spans="2:7" ht="13" x14ac:dyDescent="0.2">
      <c r="B40" s="104" t="s">
        <v>106</v>
      </c>
      <c r="C40" s="74"/>
      <c r="D40" s="79" t="s">
        <v>358</v>
      </c>
      <c r="E40" s="74" t="s">
        <v>28</v>
      </c>
      <c r="F40" s="74" t="s">
        <v>28</v>
      </c>
      <c r="G40" s="74" t="s">
        <v>28</v>
      </c>
    </row>
    <row r="41" spans="2:7" s="466" customFormat="1" ht="13" x14ac:dyDescent="0.2">
      <c r="B41" s="106" t="s">
        <v>46</v>
      </c>
      <c r="C41" s="107"/>
      <c r="D41" s="224">
        <v>-1.04</v>
      </c>
      <c r="E41" s="224">
        <v>0</v>
      </c>
      <c r="F41" s="224">
        <v>0</v>
      </c>
      <c r="G41" s="224">
        <v>0</v>
      </c>
    </row>
    <row r="42" spans="2:7" s="465" customFormat="1" ht="13" x14ac:dyDescent="0.2">
      <c r="B42" s="103" t="str">
        <f>B36</f>
        <v>Adjusted Rent/SF/Yr</v>
      </c>
      <c r="C42" s="81"/>
      <c r="D42" s="105">
        <f t="shared" ref="D42:G42" si="4">IF(D41&lt;&gt;0,D39+D41,D39)</f>
        <v>10.199999999999999</v>
      </c>
      <c r="E42" s="105">
        <f t="shared" si="4"/>
        <v>8.51</v>
      </c>
      <c r="F42" s="105">
        <f t="shared" si="4"/>
        <v>9.76</v>
      </c>
      <c r="G42" s="105">
        <f t="shared" si="4"/>
        <v>9.36</v>
      </c>
    </row>
    <row r="43" spans="2:7" ht="13" x14ac:dyDescent="0.2">
      <c r="B43" s="104" t="s">
        <v>51</v>
      </c>
      <c r="C43" s="74"/>
      <c r="D43" s="109">
        <f>D9</f>
        <v>44409</v>
      </c>
      <c r="E43" s="109">
        <f>E9</f>
        <v>44256</v>
      </c>
      <c r="F43" s="109">
        <f>F9</f>
        <v>44348</v>
      </c>
      <c r="G43" s="109">
        <f>G9</f>
        <v>44013</v>
      </c>
    </row>
    <row r="44" spans="2:7" s="466" customFormat="1" ht="13" x14ac:dyDescent="0.2">
      <c r="B44" s="106" t="s">
        <v>46</v>
      </c>
      <c r="C44" s="107"/>
      <c r="D44" s="224">
        <f>D42*3.33*0.01</f>
        <v>0.33966000000000002</v>
      </c>
      <c r="E44" s="224">
        <f>E42*5*0.01</f>
        <v>0.42549999999999999</v>
      </c>
      <c r="F44" s="224">
        <f>F42*4*0.01</f>
        <v>0.39040000000000002</v>
      </c>
      <c r="G44" s="224">
        <f>G42*7.67*0.01</f>
        <v>0.71791199999999988</v>
      </c>
    </row>
    <row r="45" spans="2:7" s="465" customFormat="1" ht="13" x14ac:dyDescent="0.2">
      <c r="B45" s="103" t="str">
        <f>B36</f>
        <v>Adjusted Rent/SF/Yr</v>
      </c>
      <c r="C45" s="81"/>
      <c r="D45" s="105">
        <f t="shared" ref="D45:G45" si="5">IF(D44&lt;&gt;0,D42+D44,D42)</f>
        <v>10.53966</v>
      </c>
      <c r="E45" s="105">
        <f t="shared" si="5"/>
        <v>8.9354999999999993</v>
      </c>
      <c r="F45" s="105">
        <f t="shared" si="5"/>
        <v>10.150399999999999</v>
      </c>
      <c r="G45" s="105">
        <f t="shared" si="5"/>
        <v>10.077912</v>
      </c>
    </row>
    <row r="46" spans="2:7" ht="13" x14ac:dyDescent="0.2">
      <c r="B46" s="99" t="s">
        <v>52</v>
      </c>
      <c r="C46" s="110"/>
      <c r="D46" s="110"/>
      <c r="E46" s="110"/>
      <c r="F46" s="110"/>
      <c r="G46" s="110"/>
    </row>
    <row r="47" spans="2:7" ht="13" x14ac:dyDescent="0.2">
      <c r="B47" s="104" t="s">
        <v>53</v>
      </c>
      <c r="C47" s="74"/>
      <c r="D47" s="111">
        <v>0</v>
      </c>
      <c r="E47" s="111">
        <v>0.1</v>
      </c>
      <c r="F47" s="111">
        <v>0.1</v>
      </c>
      <c r="G47" s="111">
        <v>0</v>
      </c>
    </row>
    <row r="48" spans="2:7" ht="13" x14ac:dyDescent="0.2">
      <c r="B48" s="104" t="str">
        <f>B14</f>
        <v>Rentable Building Area (SF)</v>
      </c>
      <c r="C48" s="88">
        <f>C14</f>
        <v>16268</v>
      </c>
      <c r="D48" s="111">
        <v>0.01</v>
      </c>
      <c r="E48" s="111">
        <v>0</v>
      </c>
      <c r="F48" s="111">
        <v>-0.1</v>
      </c>
      <c r="G48" s="111">
        <v>-0.02</v>
      </c>
    </row>
    <row r="49" spans="2:11" ht="13" x14ac:dyDescent="0.2">
      <c r="B49" s="104" t="str">
        <f t="shared" ref="B49:C54" si="6">B16</f>
        <v>Quality</v>
      </c>
      <c r="C49" s="222" t="str">
        <f t="shared" si="6"/>
        <v>Average</v>
      </c>
      <c r="D49" s="111">
        <v>-0.1</v>
      </c>
      <c r="E49" s="111">
        <v>-0.1</v>
      </c>
      <c r="F49" s="111">
        <v>-0.1</v>
      </c>
      <c r="G49" s="111">
        <v>0</v>
      </c>
    </row>
    <row r="50" spans="2:11" ht="13" x14ac:dyDescent="0.2">
      <c r="B50" s="104" t="str">
        <f t="shared" si="6"/>
        <v>Effective Age/Condition</v>
      </c>
      <c r="C50" s="223">
        <f t="shared" si="6"/>
        <v>10</v>
      </c>
      <c r="D50" s="111">
        <v>-0.1</v>
      </c>
      <c r="E50" s="111">
        <v>-0.05</v>
      </c>
      <c r="F50" s="111">
        <v>0</v>
      </c>
      <c r="G50" s="111">
        <v>0</v>
      </c>
    </row>
    <row r="51" spans="2:11" ht="13" x14ac:dyDescent="0.2">
      <c r="B51" s="104" t="str">
        <f t="shared" si="6"/>
        <v>Access</v>
      </c>
      <c r="C51" s="222" t="str">
        <f t="shared" si="6"/>
        <v>Good</v>
      </c>
      <c r="D51" s="111">
        <v>0</v>
      </c>
      <c r="E51" s="111">
        <v>0</v>
      </c>
      <c r="F51" s="111">
        <v>0</v>
      </c>
      <c r="G51" s="111">
        <v>0</v>
      </c>
    </row>
    <row r="52" spans="2:11" ht="13" x14ac:dyDescent="0.2">
      <c r="B52" s="104" t="str">
        <f t="shared" si="6"/>
        <v>Finished Ratio</v>
      </c>
      <c r="C52" s="107">
        <f t="shared" si="6"/>
        <v>7.4317678878780422E-2</v>
      </c>
      <c r="D52" s="111">
        <v>0</v>
      </c>
      <c r="E52" s="111">
        <v>0</v>
      </c>
      <c r="F52" s="111">
        <v>-0.03</v>
      </c>
      <c r="G52" s="111">
        <v>-0.02</v>
      </c>
    </row>
    <row r="53" spans="2:11" ht="13" x14ac:dyDescent="0.2">
      <c r="B53" s="112" t="str">
        <f t="shared" si="6"/>
        <v>Parking Ratio</v>
      </c>
      <c r="C53" s="113">
        <f t="shared" si="6"/>
        <v>0.91727241259951542</v>
      </c>
      <c r="D53" s="111">
        <v>0</v>
      </c>
      <c r="E53" s="111">
        <v>0</v>
      </c>
      <c r="F53" s="111">
        <v>0</v>
      </c>
      <c r="G53" s="111">
        <v>0</v>
      </c>
    </row>
    <row r="54" spans="2:11" ht="13" x14ac:dyDescent="0.2">
      <c r="B54" s="225" t="str">
        <f t="shared" si="6"/>
        <v>Eave Height</v>
      </c>
      <c r="C54" s="404">
        <f t="shared" si="6"/>
        <v>18</v>
      </c>
      <c r="D54" s="111">
        <v>0.02</v>
      </c>
      <c r="E54" s="111">
        <v>0.01</v>
      </c>
      <c r="F54" s="111">
        <v>0.01</v>
      </c>
      <c r="G54" s="111">
        <v>0.01</v>
      </c>
    </row>
    <row r="55" spans="2:11" ht="13" x14ac:dyDescent="0.2">
      <c r="B55" s="225" t="str">
        <f>B22</f>
        <v>Loading</v>
      </c>
      <c r="C55" s="88" t="str">
        <f>C22</f>
        <v>0 GL/3 DH</v>
      </c>
      <c r="D55" s="111">
        <v>0</v>
      </c>
      <c r="E55" s="111">
        <v>0</v>
      </c>
      <c r="F55" s="111">
        <v>0</v>
      </c>
      <c r="G55" s="111">
        <v>0</v>
      </c>
    </row>
    <row r="56" spans="2:11" ht="13" x14ac:dyDescent="0.2">
      <c r="B56" s="104" t="str">
        <f>B25</f>
        <v>Other</v>
      </c>
      <c r="C56" s="74" t="str">
        <f>C25</f>
        <v>None</v>
      </c>
      <c r="D56" s="111">
        <v>0</v>
      </c>
      <c r="E56" s="111">
        <v>0</v>
      </c>
      <c r="F56" s="111">
        <v>0</v>
      </c>
      <c r="G56" s="111">
        <v>0</v>
      </c>
    </row>
    <row r="57" spans="2:11" ht="13" x14ac:dyDescent="0.2">
      <c r="B57" s="104" t="s">
        <v>54</v>
      </c>
      <c r="D57" s="399">
        <f>SUM(D47:D56)</f>
        <v>-0.17</v>
      </c>
      <c r="E57" s="399">
        <f>SUM(E47:E56)</f>
        <v>-0.04</v>
      </c>
      <c r="F57" s="399">
        <f>SUM(F47:F56)</f>
        <v>-0.12000000000000001</v>
      </c>
      <c r="G57" s="399">
        <f>SUM(G47:G56)</f>
        <v>-0.03</v>
      </c>
    </row>
    <row r="58" spans="2:11" s="468" customFormat="1" ht="13" x14ac:dyDescent="0.2">
      <c r="B58" s="115" t="str">
        <f>B36</f>
        <v>Adjusted Rent/SF/Yr</v>
      </c>
      <c r="C58" s="116"/>
      <c r="D58" s="467">
        <f>D45*(1+D57)</f>
        <v>8.7479177999999997</v>
      </c>
      <c r="E58" s="467">
        <f>E45*(1+E57)</f>
        <v>8.5780799999999999</v>
      </c>
      <c r="F58" s="467">
        <f>F45*(1+F57)</f>
        <v>8.9323519999999998</v>
      </c>
      <c r="G58" s="467">
        <f>G45*(1+G57)</f>
        <v>9.7755746399999985</v>
      </c>
    </row>
    <row r="61" spans="2:11" ht="17" customHeight="1" x14ac:dyDescent="0.2">
      <c r="B61" s="221"/>
      <c r="C61" s="458" t="s">
        <v>55</v>
      </c>
      <c r="D61" s="458" t="s">
        <v>56</v>
      </c>
      <c r="E61" s="458" t="s">
        <v>57</v>
      </c>
      <c r="F61" s="458" t="s">
        <v>58</v>
      </c>
      <c r="G61" s="458" t="s">
        <v>59</v>
      </c>
      <c r="I61" s="220" t="s">
        <v>105</v>
      </c>
      <c r="J61" s="220" t="s">
        <v>104</v>
      </c>
      <c r="K61" s="220" t="s">
        <v>103</v>
      </c>
    </row>
    <row r="62" spans="2:11" ht="17" customHeight="1" x14ac:dyDescent="0.2">
      <c r="B62" s="121" t="s">
        <v>102</v>
      </c>
      <c r="C62" s="122">
        <f>MIN(D32:G32)</f>
        <v>8.51</v>
      </c>
      <c r="D62" s="122">
        <f>MAX(D32:G32)</f>
        <v>11.24</v>
      </c>
      <c r="E62" s="122">
        <f>AVERAGE(D32:G32)</f>
        <v>9.7174999999999994</v>
      </c>
      <c r="F62" s="122">
        <f>MEDIAN(D32:G32)</f>
        <v>9.5599999999999987</v>
      </c>
      <c r="G62" s="122">
        <f>_xlfn.STDEV.P(D32:G32)</f>
        <v>0.98813903373969691</v>
      </c>
      <c r="I62" s="219">
        <f>RSum!M3</f>
        <v>16268</v>
      </c>
      <c r="J62" s="218">
        <v>9</v>
      </c>
      <c r="K62" s="217">
        <f>I62*J62</f>
        <v>146412</v>
      </c>
    </row>
    <row r="63" spans="2:11" ht="17" customHeight="1" x14ac:dyDescent="0.2">
      <c r="B63" s="123" t="s">
        <v>101</v>
      </c>
      <c r="C63" s="122">
        <f>MIN(D58:G58)</f>
        <v>8.5780799999999999</v>
      </c>
      <c r="D63" s="122">
        <f>MAX(D58:G58)</f>
        <v>9.7755746399999985</v>
      </c>
      <c r="E63" s="122">
        <f>AVERAGE(D58:G58)</f>
        <v>9.0084811099999982</v>
      </c>
      <c r="F63" s="122">
        <f>MEDIAN(D58:G58)</f>
        <v>8.8401348999999989</v>
      </c>
      <c r="G63" s="122">
        <f>_xlfn.STDEV.P(D58:G58)</f>
        <v>0.46026255527813664</v>
      </c>
    </row>
    <row r="66" spans="2:11" x14ac:dyDescent="0.2">
      <c r="C66" s="461"/>
    </row>
    <row r="67" spans="2:11" ht="15" x14ac:dyDescent="0.2">
      <c r="B67" s="465"/>
      <c r="C67" s="461"/>
      <c r="I67" s="495" t="s">
        <v>100</v>
      </c>
      <c r="J67" s="495"/>
      <c r="K67" s="495"/>
    </row>
    <row r="68" spans="2:11" ht="16" x14ac:dyDescent="0.2">
      <c r="I68" s="214"/>
      <c r="J68" s="216" t="s">
        <v>99</v>
      </c>
      <c r="K68" s="216" t="s">
        <v>30</v>
      </c>
    </row>
    <row r="69" spans="2:11" ht="16" x14ac:dyDescent="0.2">
      <c r="I69" s="214" t="s">
        <v>98</v>
      </c>
      <c r="J69" s="215" t="s">
        <v>258</v>
      </c>
      <c r="K69" s="207">
        <v>0.09</v>
      </c>
    </row>
    <row r="70" spans="2:11" ht="16" x14ac:dyDescent="0.2">
      <c r="I70" s="214" t="s">
        <v>97</v>
      </c>
      <c r="J70" s="213" t="s">
        <v>65</v>
      </c>
      <c r="K70" s="207">
        <f>BOI!R6</f>
        <v>7.4274590197153517E-2</v>
      </c>
    </row>
    <row r="71" spans="2:11" ht="16" x14ac:dyDescent="0.2">
      <c r="I71" s="214" t="s">
        <v>96</v>
      </c>
      <c r="J71" s="213" t="s">
        <v>65</v>
      </c>
      <c r="K71" s="207">
        <f>BOI!Y4</f>
        <v>6.6411885295730291E-2</v>
      </c>
    </row>
    <row r="72" spans="2:11" ht="16" x14ac:dyDescent="0.2">
      <c r="I72" s="212" t="s">
        <v>259</v>
      </c>
      <c r="J72" s="211" t="s">
        <v>65</v>
      </c>
      <c r="K72" s="210">
        <v>6.4000000000000001E-2</v>
      </c>
    </row>
    <row r="73" spans="2:11" ht="15" x14ac:dyDescent="0.2">
      <c r="I73" s="486" t="s">
        <v>95</v>
      </c>
      <c r="J73" s="486"/>
      <c r="K73" s="209">
        <v>7.0000000000000007E-2</v>
      </c>
    </row>
    <row r="76" spans="2:11" ht="15" x14ac:dyDescent="0.2">
      <c r="I76" s="487" t="s">
        <v>94</v>
      </c>
      <c r="J76" s="488"/>
      <c r="K76" s="489"/>
    </row>
    <row r="77" spans="2:11" ht="15" x14ac:dyDescent="0.2">
      <c r="I77" s="490" t="s">
        <v>93</v>
      </c>
      <c r="J77" s="491"/>
      <c r="K77" s="492"/>
    </row>
    <row r="78" spans="2:11" ht="16" x14ac:dyDescent="0.2">
      <c r="I78" s="469" t="s">
        <v>92</v>
      </c>
      <c r="J78" s="470" t="s">
        <v>91</v>
      </c>
      <c r="K78" s="471" t="s">
        <v>70</v>
      </c>
    </row>
    <row r="79" spans="2:11" ht="15" x14ac:dyDescent="0.2">
      <c r="I79" s="208">
        <f>BOI!F14</f>
        <v>134933.29919999998</v>
      </c>
      <c r="J79" s="207">
        <v>7.0000000000000007E-2</v>
      </c>
      <c r="K79" s="206">
        <f>I79/J79</f>
        <v>1927618.5599999996</v>
      </c>
    </row>
    <row r="80" spans="2:11" ht="15" x14ac:dyDescent="0.2">
      <c r="I80" s="493" t="s">
        <v>71</v>
      </c>
      <c r="J80" s="494"/>
      <c r="K80" s="205">
        <v>1930000</v>
      </c>
    </row>
  </sheetData>
  <mergeCells count="7">
    <mergeCell ref="I73:J73"/>
    <mergeCell ref="I76:K76"/>
    <mergeCell ref="I77:K77"/>
    <mergeCell ref="I80:J80"/>
    <mergeCell ref="B3:B4"/>
    <mergeCell ref="B29:B30"/>
    <mergeCell ref="I67:K67"/>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323ED-7CF7-4867-B999-23319CE06079}">
  <sheetPr>
    <tabColor rgb="FFC00000"/>
  </sheetPr>
  <dimension ref="B2:Y26"/>
  <sheetViews>
    <sheetView workbookViewId="0">
      <selection activeCell="B2" sqref="B2:F2"/>
    </sheetView>
  </sheetViews>
  <sheetFormatPr baseColWidth="10" defaultColWidth="8.83203125" defaultRowHeight="17" customHeight="1" x14ac:dyDescent="0.2"/>
  <cols>
    <col min="1" max="1" width="2.6640625" customWidth="1"/>
    <col min="2" max="2" width="27.1640625" style="231" customWidth="1"/>
    <col min="3" max="3" width="31.5" style="215" customWidth="1"/>
    <col min="4" max="4" width="8" style="230" customWidth="1"/>
    <col min="5" max="5" width="9.6640625" customWidth="1"/>
    <col min="6" max="6" width="9.33203125" style="230" bestFit="1" customWidth="1"/>
    <col min="7" max="7" width="6.6640625" style="232" customWidth="1"/>
    <col min="8" max="8" width="29.6640625" style="231" customWidth="1"/>
    <col min="9" max="9" width="9.1640625" style="230" customWidth="1"/>
    <col min="10" max="10" width="9.1640625" style="229" customWidth="1"/>
    <col min="11" max="11" width="3.5" customWidth="1"/>
    <col min="12" max="12" width="31.83203125" customWidth="1"/>
    <col min="13" max="13" width="9.1640625" customWidth="1"/>
    <col min="14" max="14" width="11.6640625" customWidth="1"/>
    <col min="15" max="15" width="10.5" customWidth="1"/>
    <col min="16" max="16" width="9.1640625" customWidth="1"/>
    <col min="17" max="18" width="8.33203125" customWidth="1"/>
    <col min="19" max="20" width="9.1640625" customWidth="1"/>
    <col min="21" max="21" width="4.33203125" customWidth="1"/>
    <col min="22" max="22" width="18.33203125" customWidth="1"/>
    <col min="23" max="23" width="19.83203125" customWidth="1"/>
    <col min="24" max="24" width="22.5" customWidth="1"/>
    <col min="25" max="25" width="29.33203125" customWidth="1"/>
    <col min="26" max="26" width="31.83203125" customWidth="1"/>
    <col min="27" max="27" width="9.1640625" customWidth="1"/>
    <col min="28" max="28" width="11.6640625" customWidth="1"/>
    <col min="29" max="29" width="10.5" customWidth="1"/>
    <col min="30" max="30" width="9.1640625" customWidth="1"/>
    <col min="31" max="32" width="8.33203125" customWidth="1"/>
    <col min="33" max="16382" width="9.1640625" customWidth="1"/>
  </cols>
  <sheetData>
    <row r="2" spans="2:25" ht="17" customHeight="1" x14ac:dyDescent="0.2">
      <c r="B2" s="497" t="s">
        <v>144</v>
      </c>
      <c r="C2" s="498"/>
      <c r="D2" s="498"/>
      <c r="E2" s="498"/>
      <c r="F2" s="499"/>
      <c r="H2" s="497" t="s">
        <v>143</v>
      </c>
      <c r="I2" s="498"/>
      <c r="J2" s="499"/>
    </row>
    <row r="3" spans="2:25" ht="17" customHeight="1" x14ac:dyDescent="0.2">
      <c r="B3" s="263" t="s">
        <v>142</v>
      </c>
      <c r="E3" s="230"/>
      <c r="F3" s="259"/>
      <c r="H3" s="271" t="s">
        <v>141</v>
      </c>
      <c r="I3" s="287">
        <v>4.2500000000000003E-2</v>
      </c>
      <c r="J3" s="269"/>
      <c r="L3" s="495" t="s">
        <v>124</v>
      </c>
      <c r="M3" s="495"/>
      <c r="N3" s="495"/>
      <c r="O3" s="495"/>
      <c r="P3" s="495"/>
      <c r="Q3" s="495"/>
      <c r="R3" s="495"/>
      <c r="V3" s="286" t="s">
        <v>140</v>
      </c>
      <c r="W3" s="285" t="s">
        <v>133</v>
      </c>
      <c r="X3" s="285" t="s">
        <v>139</v>
      </c>
      <c r="Y3" s="285" t="s">
        <v>132</v>
      </c>
    </row>
    <row r="4" spans="2:25" ht="17" customHeight="1" x14ac:dyDescent="0.2">
      <c r="B4" s="253" t="s">
        <v>138</v>
      </c>
      <c r="E4" s="230"/>
      <c r="F4" s="264">
        <f>RG!K62</f>
        <v>146412</v>
      </c>
      <c r="H4" s="271" t="s">
        <v>137</v>
      </c>
      <c r="I4" s="284">
        <v>30</v>
      </c>
      <c r="J4" s="283" t="s">
        <v>127</v>
      </c>
      <c r="L4" s="258" t="s">
        <v>122</v>
      </c>
      <c r="M4" s="254">
        <f>I5</f>
        <v>0.75</v>
      </c>
      <c r="N4" s="254" t="s">
        <v>117</v>
      </c>
      <c r="O4" s="256">
        <f>I6</f>
        <v>5.9032786929538034E-2</v>
      </c>
      <c r="P4" s="277" t="s">
        <v>116</v>
      </c>
      <c r="Q4" s="254"/>
      <c r="R4" s="282">
        <f>M4*O4</f>
        <v>4.4274590197153525E-2</v>
      </c>
      <c r="V4" s="281">
        <f>I5</f>
        <v>0.75</v>
      </c>
      <c r="W4" s="279">
        <f>I6</f>
        <v>5.9032786929538034E-2</v>
      </c>
      <c r="X4" s="280">
        <v>1.5</v>
      </c>
      <c r="Y4" s="279">
        <f>V4*W4*X4</f>
        <v>6.6411885295730291E-2</v>
      </c>
    </row>
    <row r="5" spans="2:25" ht="17" customHeight="1" x14ac:dyDescent="0.2">
      <c r="B5" s="253" t="s">
        <v>136</v>
      </c>
      <c r="E5" s="230"/>
      <c r="F5" s="264">
        <v>0</v>
      </c>
      <c r="H5" s="271" t="s">
        <v>135</v>
      </c>
      <c r="I5" s="278">
        <v>0.75</v>
      </c>
      <c r="J5" s="269"/>
      <c r="L5" s="258" t="s">
        <v>120</v>
      </c>
      <c r="M5" s="254">
        <f>1-M4</f>
        <v>0.25</v>
      </c>
      <c r="N5" s="254" t="s">
        <v>117</v>
      </c>
      <c r="O5" s="256">
        <f>I7</f>
        <v>0.12</v>
      </c>
      <c r="P5" s="277" t="s">
        <v>116</v>
      </c>
      <c r="Q5" s="254"/>
      <c r="R5" s="276">
        <f>M5*O5</f>
        <v>0.03</v>
      </c>
    </row>
    <row r="6" spans="2:25" ht="17" customHeight="1" x14ac:dyDescent="0.2">
      <c r="B6" s="253" t="s">
        <v>134</v>
      </c>
      <c r="E6" s="230"/>
      <c r="F6" s="275">
        <v>0</v>
      </c>
      <c r="H6" s="271" t="s">
        <v>133</v>
      </c>
      <c r="I6" s="274">
        <f>PMT((I3/12),(I4*12),-1,0,0)*12</f>
        <v>5.9032786929538034E-2</v>
      </c>
      <c r="J6" s="269"/>
      <c r="L6" s="486" t="s">
        <v>132</v>
      </c>
      <c r="M6" s="486"/>
      <c r="N6" s="486"/>
      <c r="O6" s="486"/>
      <c r="P6" s="486"/>
      <c r="Q6" s="273"/>
      <c r="R6" s="272">
        <f>SUM(R4:R5)</f>
        <v>7.4274590197153517E-2</v>
      </c>
    </row>
    <row r="7" spans="2:25" ht="17" customHeight="1" x14ac:dyDescent="0.2">
      <c r="B7" s="263" t="s">
        <v>131</v>
      </c>
      <c r="E7" s="230"/>
      <c r="F7" s="264">
        <f>SUM(F4:F6)</f>
        <v>146412</v>
      </c>
      <c r="H7" s="271" t="s">
        <v>130</v>
      </c>
      <c r="I7" s="270">
        <v>0.12</v>
      </c>
      <c r="J7" s="269"/>
    </row>
    <row r="8" spans="2:25" ht="17" customHeight="1" x14ac:dyDescent="0.2">
      <c r="B8" s="253" t="s">
        <v>129</v>
      </c>
      <c r="C8" s="261">
        <v>0.04</v>
      </c>
      <c r="E8" s="230"/>
      <c r="F8" s="268">
        <f>F7*(-1*C8)</f>
        <v>-5856.4800000000005</v>
      </c>
      <c r="H8" s="267" t="s">
        <v>128</v>
      </c>
      <c r="I8" s="266">
        <v>10</v>
      </c>
      <c r="J8" s="265" t="s">
        <v>127</v>
      </c>
    </row>
    <row r="9" spans="2:25" ht="17" customHeight="1" x14ac:dyDescent="0.2">
      <c r="B9" s="253" t="s">
        <v>126</v>
      </c>
      <c r="E9" s="230"/>
      <c r="F9" s="264">
        <f>SUM(F7:F8)</f>
        <v>140555.51999999999</v>
      </c>
    </row>
    <row r="10" spans="2:25" ht="17" customHeight="1" x14ac:dyDescent="0.2">
      <c r="B10" s="263" t="s">
        <v>125</v>
      </c>
      <c r="E10" s="230"/>
      <c r="F10" s="259"/>
    </row>
    <row r="11" spans="2:25" ht="17" customHeight="1" x14ac:dyDescent="0.2">
      <c r="B11" s="253" t="s">
        <v>123</v>
      </c>
      <c r="C11" s="261">
        <v>0.02</v>
      </c>
      <c r="D11" s="262">
        <f>F9*C11</f>
        <v>2811.1104</v>
      </c>
      <c r="E11" s="230"/>
      <c r="F11" s="259"/>
    </row>
    <row r="12" spans="2:25" ht="17" customHeight="1" x14ac:dyDescent="0.2">
      <c r="B12" s="253" t="s">
        <v>121</v>
      </c>
      <c r="C12" s="261">
        <v>0.02</v>
      </c>
      <c r="D12" s="260">
        <f>F9*C12</f>
        <v>2811.1104</v>
      </c>
      <c r="E12" s="230"/>
      <c r="F12" s="259"/>
      <c r="L12" s="500" t="s">
        <v>124</v>
      </c>
      <c r="M12" s="500"/>
      <c r="N12" s="500"/>
      <c r="O12" s="500"/>
      <c r="P12" s="500"/>
      <c r="Q12" s="500"/>
      <c r="R12" s="500"/>
      <c r="S12" s="500"/>
      <c r="T12" s="500"/>
    </row>
    <row r="13" spans="2:25" ht="17" customHeight="1" x14ac:dyDescent="0.2">
      <c r="B13" s="253" t="s">
        <v>119</v>
      </c>
      <c r="E13" s="230"/>
      <c r="F13" s="252">
        <f>SUM(D11:D12)*-1</f>
        <v>-5622.2208000000001</v>
      </c>
      <c r="L13" s="258" t="s">
        <v>122</v>
      </c>
      <c r="M13" s="257">
        <f>I5</f>
        <v>0.75</v>
      </c>
      <c r="N13" s="254" t="s">
        <v>117</v>
      </c>
      <c r="O13" s="256">
        <f>I6</f>
        <v>5.9032786929538034E-2</v>
      </c>
      <c r="P13" s="254"/>
      <c r="Q13" s="254"/>
      <c r="R13" s="255" t="s">
        <v>116</v>
      </c>
      <c r="S13" s="254"/>
      <c r="T13" s="256">
        <f>M13*O13</f>
        <v>4.4274590197153525E-2</v>
      </c>
    </row>
    <row r="14" spans="2:25" ht="17" customHeight="1" x14ac:dyDescent="0.2">
      <c r="B14" s="247" t="s">
        <v>92</v>
      </c>
      <c r="C14" s="246"/>
      <c r="D14" s="245"/>
      <c r="E14" s="245"/>
      <c r="F14" s="244">
        <f>SUM(F9:F13)</f>
        <v>134933.29919999998</v>
      </c>
      <c r="L14" s="258" t="s">
        <v>120</v>
      </c>
      <c r="M14" s="257">
        <f>1-M13</f>
        <v>0.25</v>
      </c>
      <c r="N14" s="254" t="s">
        <v>117</v>
      </c>
      <c r="O14" s="256">
        <f>I7</f>
        <v>0.12</v>
      </c>
      <c r="P14" s="254"/>
      <c r="Q14" s="254"/>
      <c r="R14" s="255" t="s">
        <v>116</v>
      </c>
      <c r="S14" s="255"/>
      <c r="T14" s="254">
        <f>M14*O14</f>
        <v>0.03</v>
      </c>
    </row>
    <row r="15" spans="2:25" ht="17" customHeight="1" x14ac:dyDescent="0.2">
      <c r="L15" s="229" t="s">
        <v>118</v>
      </c>
      <c r="M15" s="251">
        <f>I5</f>
        <v>0.75</v>
      </c>
      <c r="N15" s="215" t="s">
        <v>117</v>
      </c>
      <c r="O15" s="250">
        <f>CUMPRINC((I3/12),(I4*12),1,1,(I8*12),0)</f>
        <v>-0.20556765560031898</v>
      </c>
      <c r="P15" s="215" t="s">
        <v>117</v>
      </c>
      <c r="Q15" s="250">
        <f>PMT(I7,I8,0,1,0)*-1</f>
        <v>5.69841641598441E-2</v>
      </c>
      <c r="R15" s="249" t="s">
        <v>116</v>
      </c>
      <c r="S15" s="229"/>
      <c r="T15" s="248">
        <f>M15*O15*Q15</f>
        <v>-8.7855757745121544E-3</v>
      </c>
    </row>
    <row r="16" spans="2:25" ht="17" customHeight="1" x14ac:dyDescent="0.2">
      <c r="B16" s="375"/>
      <c r="C16" s="377" t="s">
        <v>218</v>
      </c>
      <c r="L16" s="501" t="s">
        <v>132</v>
      </c>
      <c r="M16" s="501"/>
      <c r="N16" s="501"/>
      <c r="O16" s="501"/>
      <c r="P16" s="501"/>
      <c r="Q16" s="243"/>
      <c r="R16" s="243"/>
      <c r="S16" s="243"/>
      <c r="T16" s="242">
        <f>SUM(T13:T15)</f>
        <v>6.5489014422641365E-2</v>
      </c>
    </row>
    <row r="17" spans="2:16" ht="17" customHeight="1" x14ac:dyDescent="0.2">
      <c r="B17" s="375" t="s">
        <v>123</v>
      </c>
      <c r="C17" s="376">
        <f>D11/Subj.!D37</f>
        <v>0.17280000000000001</v>
      </c>
    </row>
    <row r="18" spans="2:16" ht="17" customHeight="1" x14ac:dyDescent="0.2">
      <c r="B18" s="375" t="s">
        <v>121</v>
      </c>
      <c r="C18" s="376">
        <f>D12/Subj.!D37</f>
        <v>0.17280000000000001</v>
      </c>
      <c r="O18" s="241">
        <f>CUMPRINC((I3/12),(I4*12),1,1,(I8*12),0)</f>
        <v>-0.20556765560031898</v>
      </c>
      <c r="P18" s="240" t="s">
        <v>115</v>
      </c>
    </row>
    <row r="19" spans="2:16" ht="17" customHeight="1" x14ac:dyDescent="0.2">
      <c r="B19" s="375"/>
      <c r="C19" s="314"/>
      <c r="O19" s="241">
        <f>PMT(I7,I8,0,1,0)</f>
        <v>-5.69841641598441E-2</v>
      </c>
      <c r="P19" s="240" t="s">
        <v>114</v>
      </c>
    </row>
    <row r="21" spans="2:16" ht="17" customHeight="1" x14ac:dyDescent="0.2">
      <c r="L21" s="496" t="s">
        <v>113</v>
      </c>
      <c r="M21" s="496"/>
      <c r="N21" s="496"/>
      <c r="O21" s="496"/>
    </row>
    <row r="22" spans="2:16" ht="17" customHeight="1" x14ac:dyDescent="0.2">
      <c r="L22" t="s">
        <v>112</v>
      </c>
      <c r="O22" s="239">
        <v>0.02</v>
      </c>
    </row>
    <row r="23" spans="2:16" ht="17" customHeight="1" x14ac:dyDescent="0.2">
      <c r="L23" s="238" t="s">
        <v>111</v>
      </c>
      <c r="O23" s="237">
        <f>O19</f>
        <v>-5.69841641598441E-2</v>
      </c>
    </row>
    <row r="24" spans="2:16" ht="17" customHeight="1" x14ac:dyDescent="0.2">
      <c r="L24" t="s">
        <v>110</v>
      </c>
      <c r="O24" s="236">
        <f>O22*O23</f>
        <v>-1.139683283196882E-3</v>
      </c>
    </row>
    <row r="25" spans="2:16" ht="17" customHeight="1" x14ac:dyDescent="0.2">
      <c r="O25" s="235"/>
    </row>
    <row r="26" spans="2:16" ht="17" customHeight="1" x14ac:dyDescent="0.2">
      <c r="L26" s="234" t="s">
        <v>109</v>
      </c>
      <c r="M26" s="234"/>
      <c r="N26" s="234"/>
      <c r="O26" s="233">
        <f>T16+O24</f>
        <v>6.4349331139444479E-2</v>
      </c>
    </row>
  </sheetData>
  <mergeCells count="7">
    <mergeCell ref="L21:O21"/>
    <mergeCell ref="B2:F2"/>
    <mergeCell ref="H2:J2"/>
    <mergeCell ref="L3:R3"/>
    <mergeCell ref="L6:P6"/>
    <mergeCell ref="L12:T12"/>
    <mergeCell ref="L16:P16"/>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B697D-3112-43D7-A95D-113660A9D35B}">
  <sheetPr>
    <tabColor rgb="FFFF0000"/>
  </sheetPr>
  <dimension ref="A1:J21"/>
  <sheetViews>
    <sheetView workbookViewId="0">
      <selection activeCell="N12" sqref="N12"/>
    </sheetView>
  </sheetViews>
  <sheetFormatPr baseColWidth="10" defaultColWidth="9.1640625" defaultRowHeight="15" x14ac:dyDescent="0.2"/>
  <cols>
    <col min="1" max="2" width="9.1640625" style="215"/>
    <col min="3" max="3" width="31.1640625" style="231" customWidth="1"/>
    <col min="4" max="4" width="9.1640625" style="215" customWidth="1"/>
    <col min="5" max="5" width="15.5" style="215" customWidth="1"/>
    <col min="6" max="6" width="13.6640625" style="230" customWidth="1"/>
    <col min="7" max="7" width="11.5" style="230" customWidth="1"/>
    <col min="8" max="9" width="14" style="230" customWidth="1"/>
    <col min="10" max="10" width="11.5" style="230" customWidth="1"/>
    <col min="11" max="16384" width="9.1640625" style="215"/>
  </cols>
  <sheetData>
    <row r="1" spans="1:10" x14ac:dyDescent="0.2">
      <c r="A1" s="295">
        <f>AVERAGE(J6:J21)</f>
        <v>6.9187499999999999E-2</v>
      </c>
      <c r="B1" s="292" t="s">
        <v>30</v>
      </c>
    </row>
    <row r="2" spans="1:10" x14ac:dyDescent="0.2">
      <c r="A2" s="295">
        <f>MEDIAN(J6:J21)</f>
        <v>7.1250000000000008E-2</v>
      </c>
      <c r="B2" s="292" t="s">
        <v>58</v>
      </c>
    </row>
    <row r="3" spans="1:10" x14ac:dyDescent="0.2">
      <c r="A3" s="295">
        <f>MIN(J6:J21)</f>
        <v>0.05</v>
      </c>
      <c r="B3" s="292" t="s">
        <v>55</v>
      </c>
    </row>
    <row r="4" spans="1:10" s="292" customFormat="1" x14ac:dyDescent="0.2">
      <c r="A4" s="295">
        <f>MAX(J6:J21)</f>
        <v>8.5999999999999993E-2</v>
      </c>
      <c r="B4" s="292" t="s">
        <v>56</v>
      </c>
      <c r="C4" s="442"/>
      <c r="F4" s="443"/>
      <c r="G4" s="443"/>
      <c r="H4" s="443"/>
      <c r="I4" s="443"/>
      <c r="J4" s="443"/>
    </row>
    <row r="5" spans="1:10" s="292" customFormat="1" ht="16" x14ac:dyDescent="0.2">
      <c r="C5" s="294" t="s">
        <v>158</v>
      </c>
      <c r="D5" s="220" t="s">
        <v>13</v>
      </c>
      <c r="E5" s="220" t="s">
        <v>157</v>
      </c>
      <c r="F5" s="293" t="s">
        <v>5</v>
      </c>
      <c r="G5" s="293" t="s">
        <v>156</v>
      </c>
      <c r="H5" s="293" t="s">
        <v>6</v>
      </c>
      <c r="I5" s="220" t="s">
        <v>155</v>
      </c>
      <c r="J5" s="293" t="s">
        <v>154</v>
      </c>
    </row>
    <row r="6" spans="1:10" x14ac:dyDescent="0.2">
      <c r="C6" s="291" t="s">
        <v>249</v>
      </c>
      <c r="D6" s="511">
        <v>1965</v>
      </c>
      <c r="E6" s="513">
        <v>44671</v>
      </c>
      <c r="F6" s="515">
        <v>4200000</v>
      </c>
      <c r="G6" s="517">
        <v>53382</v>
      </c>
      <c r="H6" s="519">
        <f>F6/G6</f>
        <v>78.678206136900073</v>
      </c>
      <c r="I6" s="515">
        <f>F6*J6</f>
        <v>252000</v>
      </c>
      <c r="J6" s="521">
        <v>0.06</v>
      </c>
    </row>
    <row r="7" spans="1:10" x14ac:dyDescent="0.2">
      <c r="C7" s="290" t="s">
        <v>250</v>
      </c>
      <c r="D7" s="512"/>
      <c r="E7" s="514"/>
      <c r="F7" s="516"/>
      <c r="G7" s="518"/>
      <c r="H7" s="520"/>
      <c r="I7" s="516"/>
      <c r="J7" s="522"/>
    </row>
    <row r="8" spans="1:10" x14ac:dyDescent="0.2">
      <c r="C8" s="289" t="s">
        <v>247</v>
      </c>
      <c r="D8" s="502">
        <v>1987</v>
      </c>
      <c r="E8" s="504">
        <v>44559</v>
      </c>
      <c r="F8" s="505">
        <v>200000</v>
      </c>
      <c r="G8" s="507">
        <v>40000</v>
      </c>
      <c r="H8" s="509">
        <f>F8/G8</f>
        <v>5</v>
      </c>
      <c r="I8" s="523">
        <f>F8*J8</f>
        <v>16000</v>
      </c>
      <c r="J8" s="525">
        <v>0.08</v>
      </c>
    </row>
    <row r="9" spans="1:10" x14ac:dyDescent="0.2">
      <c r="C9" s="288" t="s">
        <v>248</v>
      </c>
      <c r="D9" s="503"/>
      <c r="E9" s="503"/>
      <c r="F9" s="506"/>
      <c r="G9" s="508"/>
      <c r="H9" s="510"/>
      <c r="I9" s="524"/>
      <c r="J9" s="526"/>
    </row>
    <row r="10" spans="1:10" x14ac:dyDescent="0.2">
      <c r="C10" s="291" t="s">
        <v>254</v>
      </c>
      <c r="D10" s="511">
        <v>1975</v>
      </c>
      <c r="E10" s="513">
        <v>44531</v>
      </c>
      <c r="F10" s="515">
        <v>1525000</v>
      </c>
      <c r="G10" s="517">
        <v>42660</v>
      </c>
      <c r="H10" s="519">
        <f>F10/G10</f>
        <v>35.747773089545241</v>
      </c>
      <c r="I10" s="515">
        <f>F10*J10</f>
        <v>106750.00000000001</v>
      </c>
      <c r="J10" s="521">
        <v>7.0000000000000007E-2</v>
      </c>
    </row>
    <row r="11" spans="1:10" x14ac:dyDescent="0.2">
      <c r="C11" s="290" t="s">
        <v>255</v>
      </c>
      <c r="D11" s="512"/>
      <c r="E11" s="514"/>
      <c r="F11" s="516"/>
      <c r="G11" s="518"/>
      <c r="H11" s="520"/>
      <c r="I11" s="516"/>
      <c r="J11" s="522"/>
    </row>
    <row r="12" spans="1:10" x14ac:dyDescent="0.2">
      <c r="C12" s="291" t="s">
        <v>252</v>
      </c>
      <c r="D12" s="511">
        <v>1981</v>
      </c>
      <c r="E12" s="513">
        <v>44396</v>
      </c>
      <c r="F12" s="515">
        <v>2800000</v>
      </c>
      <c r="G12" s="517">
        <v>29678</v>
      </c>
      <c r="H12" s="519">
        <f>F12/G12</f>
        <v>94.345980187344168</v>
      </c>
      <c r="I12" s="515">
        <f>F12*J12</f>
        <v>140000</v>
      </c>
      <c r="J12" s="521">
        <v>0.05</v>
      </c>
    </row>
    <row r="13" spans="1:10" x14ac:dyDescent="0.2">
      <c r="C13" s="290" t="s">
        <v>251</v>
      </c>
      <c r="D13" s="512"/>
      <c r="E13" s="514"/>
      <c r="F13" s="516"/>
      <c r="G13" s="518"/>
      <c r="H13" s="520"/>
      <c r="I13" s="516"/>
      <c r="J13" s="522"/>
    </row>
    <row r="14" spans="1:10" x14ac:dyDescent="0.2">
      <c r="C14" s="289" t="s">
        <v>257</v>
      </c>
      <c r="D14" s="502">
        <v>2001</v>
      </c>
      <c r="E14" s="504">
        <v>44308</v>
      </c>
      <c r="F14" s="505">
        <v>2350000</v>
      </c>
      <c r="G14" s="507">
        <v>20000</v>
      </c>
      <c r="H14" s="509">
        <f>F14/G14</f>
        <v>117.5</v>
      </c>
      <c r="I14" s="523">
        <f>F14*J14</f>
        <v>170375</v>
      </c>
      <c r="J14" s="525">
        <v>7.2499999999999995E-2</v>
      </c>
    </row>
    <row r="15" spans="1:10" x14ac:dyDescent="0.2">
      <c r="C15" s="288" t="s">
        <v>245</v>
      </c>
      <c r="D15" s="503"/>
      <c r="E15" s="503"/>
      <c r="F15" s="506"/>
      <c r="G15" s="508"/>
      <c r="H15" s="510"/>
      <c r="I15" s="524"/>
      <c r="J15" s="526"/>
    </row>
    <row r="16" spans="1:10" x14ac:dyDescent="0.2">
      <c r="C16" s="289" t="s">
        <v>246</v>
      </c>
      <c r="D16" s="502">
        <v>1990</v>
      </c>
      <c r="E16" s="504">
        <v>44119</v>
      </c>
      <c r="F16" s="505">
        <v>1300000</v>
      </c>
      <c r="G16" s="507">
        <v>25440</v>
      </c>
      <c r="H16" s="509">
        <f>F16/G16</f>
        <v>51.100628930817614</v>
      </c>
      <c r="I16" s="523">
        <f>F16*J16</f>
        <v>111799.99999999999</v>
      </c>
      <c r="J16" s="525">
        <v>8.5999999999999993E-2</v>
      </c>
    </row>
    <row r="17" spans="3:10" x14ac:dyDescent="0.2">
      <c r="C17" s="288" t="s">
        <v>241</v>
      </c>
      <c r="D17" s="503"/>
      <c r="E17" s="503"/>
      <c r="F17" s="506"/>
      <c r="G17" s="508"/>
      <c r="H17" s="510"/>
      <c r="I17" s="524"/>
      <c r="J17" s="526"/>
    </row>
    <row r="18" spans="3:10" x14ac:dyDescent="0.2">
      <c r="C18" s="291" t="s">
        <v>256</v>
      </c>
      <c r="D18" s="511">
        <v>1979</v>
      </c>
      <c r="E18" s="513">
        <v>44117</v>
      </c>
      <c r="F18" s="515">
        <v>3840000</v>
      </c>
      <c r="G18" s="517">
        <v>42960</v>
      </c>
      <c r="H18" s="519">
        <f>F18/G18</f>
        <v>89.385474860335194</v>
      </c>
      <c r="I18" s="515">
        <f>F18*J18</f>
        <v>288000</v>
      </c>
      <c r="J18" s="521">
        <v>7.4999999999999997E-2</v>
      </c>
    </row>
    <row r="19" spans="3:10" x14ac:dyDescent="0.2">
      <c r="C19" s="290" t="s">
        <v>251</v>
      </c>
      <c r="D19" s="512"/>
      <c r="E19" s="514"/>
      <c r="F19" s="516"/>
      <c r="G19" s="518"/>
      <c r="H19" s="520"/>
      <c r="I19" s="516"/>
      <c r="J19" s="522"/>
    </row>
    <row r="20" spans="3:10" x14ac:dyDescent="0.2">
      <c r="C20" s="291" t="s">
        <v>253</v>
      </c>
      <c r="D20" s="511">
        <v>1981</v>
      </c>
      <c r="E20" s="513">
        <v>44105</v>
      </c>
      <c r="F20" s="515">
        <v>5817000</v>
      </c>
      <c r="G20" s="517">
        <v>64144</v>
      </c>
      <c r="H20" s="519">
        <f>F20/G20</f>
        <v>90.686580194562239</v>
      </c>
      <c r="I20" s="515">
        <f>F20*J20</f>
        <v>349020</v>
      </c>
      <c r="J20" s="521">
        <v>0.06</v>
      </c>
    </row>
    <row r="21" spans="3:10" x14ac:dyDescent="0.2">
      <c r="C21" s="290" t="s">
        <v>251</v>
      </c>
      <c r="D21" s="512"/>
      <c r="E21" s="514"/>
      <c r="F21" s="516"/>
      <c r="G21" s="518"/>
      <c r="H21" s="520"/>
      <c r="I21" s="516"/>
      <c r="J21" s="522"/>
    </row>
  </sheetData>
  <mergeCells count="56">
    <mergeCell ref="D6:D7"/>
    <mergeCell ref="E6:E7"/>
    <mergeCell ref="D12:D13"/>
    <mergeCell ref="E12:E13"/>
    <mergeCell ref="F12:F13"/>
    <mergeCell ref="D10:D11"/>
    <mergeCell ref="E10:E11"/>
    <mergeCell ref="D8:D9"/>
    <mergeCell ref="E8:E9"/>
    <mergeCell ref="G12:G13"/>
    <mergeCell ref="H12:H13"/>
    <mergeCell ref="F6:F7"/>
    <mergeCell ref="G6:G7"/>
    <mergeCell ref="H6:H7"/>
    <mergeCell ref="F10:F11"/>
    <mergeCell ref="G10:G11"/>
    <mergeCell ref="H10:H11"/>
    <mergeCell ref="F8:F9"/>
    <mergeCell ref="G8:G9"/>
    <mergeCell ref="H8:H9"/>
    <mergeCell ref="I6:I7"/>
    <mergeCell ref="J20:J21"/>
    <mergeCell ref="J6:J7"/>
    <mergeCell ref="I12:I13"/>
    <mergeCell ref="J12:J13"/>
    <mergeCell ref="I20:I21"/>
    <mergeCell ref="I10:I11"/>
    <mergeCell ref="J18:J19"/>
    <mergeCell ref="J10:J11"/>
    <mergeCell ref="I14:I15"/>
    <mergeCell ref="J14:J15"/>
    <mergeCell ref="I18:I19"/>
    <mergeCell ref="J8:J9"/>
    <mergeCell ref="I16:I17"/>
    <mergeCell ref="J16:J17"/>
    <mergeCell ref="I8:I9"/>
    <mergeCell ref="D20:D21"/>
    <mergeCell ref="E20:E21"/>
    <mergeCell ref="F20:F21"/>
    <mergeCell ref="G20:G21"/>
    <mergeCell ref="H20:H21"/>
    <mergeCell ref="D18:D19"/>
    <mergeCell ref="E18:E19"/>
    <mergeCell ref="F18:F19"/>
    <mergeCell ref="G18:G19"/>
    <mergeCell ref="H18:H19"/>
    <mergeCell ref="D14:D15"/>
    <mergeCell ref="E14:E15"/>
    <mergeCell ref="F14:F15"/>
    <mergeCell ref="G14:G15"/>
    <mergeCell ref="H14:H15"/>
    <mergeCell ref="D16:D17"/>
    <mergeCell ref="E16:E17"/>
    <mergeCell ref="F16:F17"/>
    <mergeCell ref="G16:G17"/>
    <mergeCell ref="H16:H17"/>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BAD2E-710F-40B8-934D-63970C86A43C}">
  <sheetPr>
    <tabColor rgb="FFFF0000"/>
  </sheetPr>
  <dimension ref="B4:I19"/>
  <sheetViews>
    <sheetView workbookViewId="0">
      <selection activeCell="I13" sqref="I13"/>
    </sheetView>
  </sheetViews>
  <sheetFormatPr baseColWidth="10" defaultColWidth="8.83203125" defaultRowHeight="15" x14ac:dyDescent="0.2"/>
  <cols>
    <col min="2" max="2" width="35.5" customWidth="1"/>
    <col min="3" max="3" width="15.6640625" style="230" customWidth="1"/>
    <col min="4" max="4" width="12.6640625" style="215" customWidth="1"/>
    <col min="5" max="5" width="12.6640625" style="296" customWidth="1"/>
    <col min="6" max="6" width="12.6640625" style="230" customWidth="1"/>
  </cols>
  <sheetData>
    <row r="4" spans="2:9" x14ac:dyDescent="0.2">
      <c r="B4" s="527" t="s">
        <v>164</v>
      </c>
      <c r="C4" s="527"/>
      <c r="D4" s="527"/>
      <c r="E4" s="527"/>
      <c r="F4" s="527"/>
    </row>
    <row r="5" spans="2:9" x14ac:dyDescent="0.2">
      <c r="B5" s="528"/>
      <c r="C5" s="528"/>
      <c r="D5" s="528"/>
      <c r="E5" s="528"/>
      <c r="F5" s="528"/>
    </row>
    <row r="6" spans="2:9" ht="15" customHeight="1" x14ac:dyDescent="0.2">
      <c r="B6" s="137" t="s">
        <v>163</v>
      </c>
      <c r="C6" s="316" t="s">
        <v>362</v>
      </c>
      <c r="D6" s="128"/>
      <c r="E6" s="303"/>
      <c r="F6" s="304"/>
    </row>
    <row r="7" spans="2:9" ht="16" x14ac:dyDescent="0.2">
      <c r="B7" s="137" t="s">
        <v>162</v>
      </c>
      <c r="C7" s="302" t="s">
        <v>361</v>
      </c>
      <c r="D7" s="128"/>
      <c r="E7" s="303"/>
      <c r="F7" s="304"/>
    </row>
    <row r="8" spans="2:9" ht="16" x14ac:dyDescent="0.2">
      <c r="B8" s="137" t="s">
        <v>105</v>
      </c>
      <c r="C8" s="315">
        <f>Subj.!D37</f>
        <v>16268</v>
      </c>
      <c r="D8" s="128"/>
      <c r="E8" s="303"/>
      <c r="F8" s="304"/>
    </row>
    <row r="9" spans="2:9" ht="15" customHeight="1" x14ac:dyDescent="0.2">
      <c r="B9" s="529"/>
      <c r="C9" s="529"/>
      <c r="D9" s="529"/>
      <c r="E9" s="529"/>
      <c r="F9" s="529"/>
    </row>
    <row r="10" spans="2:9" x14ac:dyDescent="0.2">
      <c r="B10" s="529"/>
      <c r="C10" s="529"/>
      <c r="D10" s="529"/>
      <c r="E10" s="529"/>
      <c r="F10" s="529"/>
    </row>
    <row r="11" spans="2:9" ht="16" x14ac:dyDescent="0.2">
      <c r="B11" s="137"/>
      <c r="C11" s="302"/>
      <c r="D11" s="314" t="s">
        <v>148</v>
      </c>
      <c r="E11" s="313" t="s">
        <v>147</v>
      </c>
      <c r="F11" s="313" t="s">
        <v>146</v>
      </c>
    </row>
    <row r="12" spans="2:9" ht="16" x14ac:dyDescent="0.2">
      <c r="B12" s="137" t="s">
        <v>151</v>
      </c>
      <c r="C12" s="304"/>
      <c r="D12" s="311">
        <f>C8</f>
        <v>16268</v>
      </c>
      <c r="E12" s="312">
        <v>42.7</v>
      </c>
      <c r="F12" s="306">
        <f>D12*E12</f>
        <v>694643.60000000009</v>
      </c>
    </row>
    <row r="13" spans="2:9" ht="16" x14ac:dyDescent="0.2">
      <c r="B13" s="137" t="s">
        <v>150</v>
      </c>
      <c r="C13" s="304"/>
      <c r="D13" s="311">
        <f>C8</f>
        <v>16268</v>
      </c>
      <c r="E13" s="312">
        <v>18.829999999999998</v>
      </c>
      <c r="F13" s="306">
        <f>D13*E13</f>
        <v>306326.43999999994</v>
      </c>
    </row>
    <row r="14" spans="2:9" ht="16" x14ac:dyDescent="0.2">
      <c r="B14" s="137" t="s">
        <v>149</v>
      </c>
      <c r="C14" s="304"/>
      <c r="D14" s="311">
        <f>Subj.!D41</f>
        <v>1209</v>
      </c>
      <c r="E14" s="312">
        <v>7.04</v>
      </c>
      <c r="F14" s="306">
        <f>D14*E14</f>
        <v>8511.36</v>
      </c>
    </row>
    <row r="15" spans="2:9" ht="16" x14ac:dyDescent="0.2">
      <c r="B15" s="137" t="s">
        <v>161</v>
      </c>
      <c r="C15" s="304"/>
      <c r="D15" s="311">
        <f>C8</f>
        <v>16268</v>
      </c>
      <c r="E15" s="310">
        <f>F15/C8</f>
        <v>62.053196459306612</v>
      </c>
      <c r="F15" s="306">
        <f>SUM(F12:F14)</f>
        <v>1009481.4</v>
      </c>
      <c r="I15" s="309"/>
    </row>
    <row r="16" spans="2:9" ht="16" x14ac:dyDescent="0.2">
      <c r="B16" s="137" t="s">
        <v>160</v>
      </c>
      <c r="C16" s="308">
        <v>0.1</v>
      </c>
      <c r="D16" s="128"/>
      <c r="E16" s="303"/>
      <c r="F16" s="307">
        <f>-F15*C16</f>
        <v>-100948.14000000001</v>
      </c>
    </row>
    <row r="17" spans="2:6" ht="16" x14ac:dyDescent="0.2">
      <c r="B17" s="137" t="s">
        <v>159</v>
      </c>
      <c r="C17" s="304"/>
      <c r="D17" s="128"/>
      <c r="E17" s="303"/>
      <c r="F17" s="306">
        <f>SUM(F15:F16)</f>
        <v>908533.26</v>
      </c>
    </row>
    <row r="18" spans="2:6" x14ac:dyDescent="0.2">
      <c r="B18" s="305"/>
      <c r="C18" s="304"/>
      <c r="D18" s="128"/>
      <c r="E18" s="303"/>
      <c r="F18" s="302"/>
    </row>
    <row r="19" spans="2:6" ht="16" x14ac:dyDescent="0.2">
      <c r="B19" s="301" t="s">
        <v>71</v>
      </c>
      <c r="C19" s="300"/>
      <c r="D19" s="299"/>
      <c r="E19" s="298"/>
      <c r="F19" s="297">
        <v>910000</v>
      </c>
    </row>
  </sheetData>
  <mergeCells count="4">
    <mergeCell ref="B4:F4"/>
    <mergeCell ref="B5:F5"/>
    <mergeCell ref="B9:F9"/>
    <mergeCell ref="B10:F10"/>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1929E-EC5B-4457-9B2E-0C872B15829A}">
  <sheetPr>
    <tabColor theme="7"/>
  </sheetPr>
  <dimension ref="C1:F12"/>
  <sheetViews>
    <sheetView workbookViewId="0">
      <selection activeCell="C12" sqref="C12"/>
    </sheetView>
  </sheetViews>
  <sheetFormatPr baseColWidth="10" defaultColWidth="8.83203125" defaultRowHeight="15" x14ac:dyDescent="0.2"/>
  <cols>
    <col min="3" max="3" width="69.83203125" customWidth="1"/>
    <col min="4" max="4" width="19" customWidth="1"/>
  </cols>
  <sheetData>
    <row r="1" spans="3:6" x14ac:dyDescent="0.2">
      <c r="F1" s="230"/>
    </row>
    <row r="2" spans="3:6" x14ac:dyDescent="0.2">
      <c r="C2" s="323" t="s">
        <v>168</v>
      </c>
      <c r="D2" s="327" t="str">
        <f>Subj.!D11</f>
        <v>145-301-22</v>
      </c>
    </row>
    <row r="3" spans="3:6" s="326" customFormat="1" x14ac:dyDescent="0.2">
      <c r="C3" s="322" t="s">
        <v>167</v>
      </c>
      <c r="D3" s="321">
        <v>2021</v>
      </c>
    </row>
    <row r="4" spans="3:6" x14ac:dyDescent="0.2">
      <c r="C4" s="317" t="s">
        <v>173</v>
      </c>
      <c r="D4" s="269"/>
    </row>
    <row r="5" spans="3:6" x14ac:dyDescent="0.2">
      <c r="C5" s="317" t="s">
        <v>172</v>
      </c>
      <c r="D5" s="319">
        <v>0</v>
      </c>
    </row>
    <row r="6" spans="3:6" x14ac:dyDescent="0.2">
      <c r="C6" s="317" t="s">
        <v>171</v>
      </c>
      <c r="D6" s="319">
        <v>1055600</v>
      </c>
    </row>
    <row r="7" spans="3:6" x14ac:dyDescent="0.2">
      <c r="C7" s="317" t="s">
        <v>244</v>
      </c>
      <c r="D7" s="325">
        <v>0</v>
      </c>
    </row>
    <row r="8" spans="3:6" x14ac:dyDescent="0.2">
      <c r="C8" s="317" t="s">
        <v>170</v>
      </c>
      <c r="D8" s="319">
        <f>D5+D6+D7</f>
        <v>1055600</v>
      </c>
    </row>
    <row r="9" spans="3:6" x14ac:dyDescent="0.2">
      <c r="C9" s="324">
        <f>D9*100</f>
        <v>100</v>
      </c>
      <c r="D9" s="320">
        <v>1</v>
      </c>
    </row>
    <row r="10" spans="3:6" x14ac:dyDescent="0.2">
      <c r="C10" s="317" t="s">
        <v>166</v>
      </c>
      <c r="D10" s="319">
        <f>D8*D9</f>
        <v>1055600</v>
      </c>
    </row>
    <row r="11" spans="3:6" x14ac:dyDescent="0.2">
      <c r="C11" s="317" t="s">
        <v>169</v>
      </c>
      <c r="D11" s="318">
        <v>9.6500000000000006E-3</v>
      </c>
    </row>
    <row r="12" spans="3:6" s="436" customFormat="1" x14ac:dyDescent="0.2">
      <c r="C12" s="437" t="s">
        <v>165</v>
      </c>
      <c r="D12" s="438">
        <f>D10*D11</f>
        <v>10186.540000000001</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DABB-8245-4959-9414-E8CAF4C1AB9E}">
  <sheetPr>
    <tabColor rgb="FFFF0000"/>
  </sheetPr>
  <dimension ref="B2:I11"/>
  <sheetViews>
    <sheetView topLeftCell="D1" workbookViewId="0">
      <selection activeCell="I5" sqref="I5"/>
    </sheetView>
  </sheetViews>
  <sheetFormatPr baseColWidth="10" defaultColWidth="8.83203125" defaultRowHeight="15" x14ac:dyDescent="0.2"/>
  <cols>
    <col min="2" max="2" width="32.5" customWidth="1"/>
    <col min="3" max="3" width="26.1640625" customWidth="1"/>
    <col min="4" max="4" width="30.6640625" customWidth="1"/>
    <col min="6" max="6" width="41.1640625" customWidth="1"/>
    <col min="7" max="7" width="48" customWidth="1"/>
    <col min="9" max="9" width="89.1640625" customWidth="1"/>
  </cols>
  <sheetData>
    <row r="2" spans="2:9" x14ac:dyDescent="0.2">
      <c r="I2" s="378" t="s">
        <v>220</v>
      </c>
    </row>
    <row r="3" spans="2:9" x14ac:dyDescent="0.2">
      <c r="B3" s="486" t="s">
        <v>67</v>
      </c>
      <c r="C3" s="486"/>
      <c r="D3" s="486"/>
      <c r="F3" s="530" t="s">
        <v>177</v>
      </c>
      <c r="G3" s="531"/>
      <c r="I3" s="75"/>
    </row>
    <row r="4" spans="2:9" ht="16" x14ac:dyDescent="0.2">
      <c r="B4" s="214"/>
      <c r="C4" s="211" t="s">
        <v>176</v>
      </c>
      <c r="D4" s="343" t="s">
        <v>70</v>
      </c>
      <c r="F4" s="326" t="s">
        <v>68</v>
      </c>
      <c r="G4" s="342">
        <f>SG!L70</f>
        <v>1950000</v>
      </c>
      <c r="I4" s="335" t="s">
        <v>359</v>
      </c>
    </row>
    <row r="5" spans="2:9" ht="16" x14ac:dyDescent="0.2">
      <c r="B5" s="214"/>
      <c r="C5" s="213"/>
      <c r="D5" s="331"/>
      <c r="F5" s="341"/>
      <c r="G5" s="340"/>
      <c r="I5" s="332">
        <v>1950000</v>
      </c>
    </row>
    <row r="6" spans="2:9" ht="16" x14ac:dyDescent="0.2">
      <c r="B6" s="214" t="s">
        <v>68</v>
      </c>
      <c r="C6" s="339">
        <f>Subj.!D61</f>
        <v>44747</v>
      </c>
      <c r="D6" s="338">
        <f>G4</f>
        <v>1950000</v>
      </c>
      <c r="F6" s="337" t="s">
        <v>93</v>
      </c>
      <c r="G6" s="336">
        <f>RG!K80</f>
        <v>1930000</v>
      </c>
      <c r="I6" s="75"/>
    </row>
    <row r="7" spans="2:9" x14ac:dyDescent="0.2">
      <c r="B7" s="214"/>
      <c r="C7" s="213"/>
      <c r="D7" s="338"/>
      <c r="I7" s="75"/>
    </row>
    <row r="8" spans="2:9" ht="16" x14ac:dyDescent="0.2">
      <c r="B8" s="214" t="s">
        <v>93</v>
      </c>
      <c r="C8" s="334">
        <f>C6</f>
        <v>44747</v>
      </c>
      <c r="D8" s="333">
        <f t="shared" ref="D8" si="0">G6</f>
        <v>1930000</v>
      </c>
      <c r="I8" s="378" t="s">
        <v>219</v>
      </c>
    </row>
    <row r="9" spans="2:9" x14ac:dyDescent="0.2">
      <c r="B9" s="214"/>
      <c r="C9" s="213"/>
      <c r="D9" s="331"/>
      <c r="I9" s="124"/>
    </row>
    <row r="10" spans="2:9" ht="16" x14ac:dyDescent="0.2">
      <c r="B10" s="330" t="s">
        <v>174</v>
      </c>
      <c r="C10" s="329">
        <f>C6</f>
        <v>44747</v>
      </c>
      <c r="D10" s="328">
        <f>I5</f>
        <v>1950000</v>
      </c>
      <c r="I10" s="335" t="s">
        <v>175</v>
      </c>
    </row>
    <row r="11" spans="2:9" ht="16" x14ac:dyDescent="0.2">
      <c r="I11" s="332">
        <v>1</v>
      </c>
    </row>
  </sheetData>
  <mergeCells count="2">
    <mergeCell ref="B3:D3"/>
    <mergeCell ref="F3:G3"/>
  </mergeCells>
  <pageMargins left="0.7" right="0.7" top="0.75" bottom="0.75" header="0.3" footer="0.3"/>
  <pageSetup orientation="portrait" horizontalDpi="4294967293"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3E249-77A4-4468-B888-F53C458D199C}">
  <sheetPr>
    <tabColor rgb="FF7030A0"/>
  </sheetPr>
  <dimension ref="B3:H27"/>
  <sheetViews>
    <sheetView workbookViewId="0">
      <selection activeCell="C5" sqref="C5"/>
    </sheetView>
  </sheetViews>
  <sheetFormatPr baseColWidth="10" defaultColWidth="9.1640625" defaultRowHeight="15" x14ac:dyDescent="0.2"/>
  <cols>
    <col min="1" max="1" width="9.1640625" style="229"/>
    <col min="2" max="2" width="78.6640625" style="229" customWidth="1"/>
    <col min="3" max="3" width="10.6640625" style="229" customWidth="1"/>
    <col min="4" max="4" width="9.1640625" style="229"/>
    <col min="5" max="5" width="10.33203125" style="344" bestFit="1" customWidth="1"/>
    <col min="6" max="6" width="9.6640625" style="344" bestFit="1" customWidth="1"/>
    <col min="7" max="8" width="9.1640625" style="344"/>
    <col min="9" max="16384" width="9.1640625" style="229"/>
  </cols>
  <sheetData>
    <row r="3" spans="2:6" x14ac:dyDescent="0.2">
      <c r="B3" s="533" t="s">
        <v>187</v>
      </c>
      <c r="C3" s="533"/>
    </row>
    <row r="4" spans="2:6" x14ac:dyDescent="0.2">
      <c r="B4" s="364"/>
      <c r="C4" s="331"/>
    </row>
    <row r="5" spans="2:6" ht="16" x14ac:dyDescent="0.2">
      <c r="B5" s="364" t="s">
        <v>186</v>
      </c>
      <c r="C5" s="338">
        <v>206476</v>
      </c>
    </row>
    <row r="6" spans="2:6" x14ac:dyDescent="0.2">
      <c r="B6" s="365">
        <f>E6</f>
        <v>15</v>
      </c>
      <c r="C6" s="333">
        <f>C5*(B6/100)</f>
        <v>30971.399999999998</v>
      </c>
      <c r="E6" s="350">
        <v>15</v>
      </c>
    </row>
    <row r="7" spans="2:6" ht="16" x14ac:dyDescent="0.2">
      <c r="B7" s="364" t="s">
        <v>185</v>
      </c>
      <c r="C7" s="338">
        <f>SUM(C5:C6)</f>
        <v>237447.4</v>
      </c>
    </row>
    <row r="8" spans="2:6" x14ac:dyDescent="0.2">
      <c r="B8" s="364"/>
      <c r="C8" s="331"/>
    </row>
    <row r="9" spans="2:6" x14ac:dyDescent="0.2">
      <c r="B9" s="363">
        <f>E9</f>
        <v>10</v>
      </c>
      <c r="C9" s="333">
        <f>C7*(B9/100)</f>
        <v>23744.74</v>
      </c>
      <c r="E9" s="350">
        <v>10</v>
      </c>
    </row>
    <row r="10" spans="2:6" ht="16" x14ac:dyDescent="0.2">
      <c r="B10" s="362" t="s">
        <v>178</v>
      </c>
      <c r="C10" s="361">
        <f>C7+C9</f>
        <v>261192.13999999998</v>
      </c>
      <c r="E10" s="360"/>
    </row>
    <row r="11" spans="2:6" ht="16" x14ac:dyDescent="0.2">
      <c r="B11" s="359" t="s">
        <v>71</v>
      </c>
      <c r="C11" s="358">
        <v>260000</v>
      </c>
    </row>
    <row r="14" spans="2:6" x14ac:dyDescent="0.2">
      <c r="B14" s="532" t="s">
        <v>184</v>
      </c>
      <c r="C14" s="532"/>
    </row>
    <row r="15" spans="2:6" ht="16" x14ac:dyDescent="0.2">
      <c r="B15" s="214" t="s">
        <v>183</v>
      </c>
      <c r="C15" s="331"/>
    </row>
    <row r="16" spans="2:6" ht="16" x14ac:dyDescent="0.2">
      <c r="B16" s="214" t="s">
        <v>182</v>
      </c>
      <c r="C16" s="338">
        <f>E16*(F16/12)</f>
        <v>11306.25</v>
      </c>
      <c r="E16" s="357">
        <v>45225</v>
      </c>
      <c r="F16" s="356">
        <v>3</v>
      </c>
    </row>
    <row r="17" spans="2:8" ht="16" x14ac:dyDescent="0.2">
      <c r="B17" s="214" t="s">
        <v>181</v>
      </c>
      <c r="C17" s="338">
        <v>0</v>
      </c>
    </row>
    <row r="18" spans="2:8" ht="16" x14ac:dyDescent="0.2">
      <c r="B18" s="214" t="s">
        <v>180</v>
      </c>
      <c r="C18" s="333">
        <f>E18*G18*H18*F18</f>
        <v>13567.499999999998</v>
      </c>
      <c r="E18" s="355">
        <v>45</v>
      </c>
      <c r="F18" s="354">
        <v>1005</v>
      </c>
      <c r="G18" s="353">
        <v>0.06</v>
      </c>
      <c r="H18" s="352">
        <v>5</v>
      </c>
    </row>
    <row r="19" spans="2:8" ht="16" x14ac:dyDescent="0.2">
      <c r="B19" s="214" t="s">
        <v>179</v>
      </c>
      <c r="C19" s="338">
        <f>SUM(C16:C18)</f>
        <v>24873.75</v>
      </c>
    </row>
    <row r="20" spans="2:8" x14ac:dyDescent="0.2">
      <c r="B20" s="214"/>
      <c r="C20" s="331"/>
    </row>
    <row r="21" spans="2:8" x14ac:dyDescent="0.2">
      <c r="B21" s="351">
        <f>E21</f>
        <v>15</v>
      </c>
      <c r="C21" s="338">
        <f>C19*E21</f>
        <v>373106.25</v>
      </c>
      <c r="E21" s="350">
        <v>15</v>
      </c>
    </row>
    <row r="22" spans="2:8" ht="16" x14ac:dyDescent="0.2">
      <c r="B22" s="349" t="s">
        <v>178</v>
      </c>
      <c r="C22" s="348">
        <f>SUM(C19:C21)</f>
        <v>397980</v>
      </c>
    </row>
    <row r="23" spans="2:8" x14ac:dyDescent="0.2">
      <c r="B23" s="347" t="s">
        <v>71</v>
      </c>
      <c r="C23" s="346" t="s">
        <v>363</v>
      </c>
    </row>
    <row r="27" spans="2:8" x14ac:dyDescent="0.2">
      <c r="B27" s="345"/>
    </row>
  </sheetData>
  <mergeCells count="2">
    <mergeCell ref="B14:C14"/>
    <mergeCell ref="B3:C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22</vt:i4>
      </vt:variant>
      <vt:variant>
        <vt:lpstr>Named Ranges</vt:lpstr>
      </vt:variant>
      <vt:variant>
        <vt:i4>4</vt:i4>
      </vt:variant>
    </vt:vector>
  </HeadingPairs>
  <TitlesOfParts>
    <vt:vector size="26" baseType="lpstr">
      <vt:lpstr>Subj.</vt:lpstr>
      <vt:lpstr>SSum</vt:lpstr>
      <vt:lpstr>S1</vt:lpstr>
      <vt:lpstr>S2</vt:lpstr>
      <vt:lpstr>S3</vt:lpstr>
      <vt:lpstr>S4</vt:lpstr>
      <vt:lpstr>S5</vt:lpstr>
      <vt:lpstr>SAdj</vt:lpstr>
      <vt:lpstr>SG</vt:lpstr>
      <vt:lpstr>RSum</vt:lpstr>
      <vt:lpstr>R1</vt:lpstr>
      <vt:lpstr>R2</vt:lpstr>
      <vt:lpstr>R3</vt:lpstr>
      <vt:lpstr>R4</vt:lpstr>
      <vt:lpstr>RAdj</vt:lpstr>
      <vt:lpstr>RG</vt:lpstr>
      <vt:lpstr>BOI</vt:lpstr>
      <vt:lpstr>Cap Sales</vt:lpstr>
      <vt:lpstr>Ins</vt:lpstr>
      <vt:lpstr>Tax</vt:lpstr>
      <vt:lpstr>Final</vt:lpstr>
      <vt:lpstr>AddC</vt:lpstr>
      <vt:lpstr>Band_of_Investment_Assumptions</vt:lpstr>
      <vt:lpstr>DSCR</vt:lpstr>
      <vt:lpstr>Income_Proforma</vt:lpstr>
      <vt:lpstr>Mortgage_Equity_CapRate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dc:creator>
  <cp:lastModifiedBy>JC Talbott</cp:lastModifiedBy>
  <dcterms:created xsi:type="dcterms:W3CDTF">2019-11-28T02:13:16Z</dcterms:created>
  <dcterms:modified xsi:type="dcterms:W3CDTF">2025-01-29T19:04:14Z</dcterms:modified>
  <cp:contentStatus/>
</cp:coreProperties>
</file>