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5225"/>
  <x:workbookPr defaultThemeVersion="166925"/>
  <mc:AlternateContent xmlns:mc="http://schemas.openxmlformats.org/markup-compatibility/2006">
    <mc:Choice Requires="x15">
      <x15ac:absPath xmlns:x15ac="http://schemas.microsoft.com/office/spreadsheetml/2010/11/ac" url="C:\Users\Carl\Documents\James\0 TVAS\2022 Appraisals\22061 Industrial Condominium Charlotte\"/>
    </mc:Choice>
  </mc:AlternateContent>
  <xr:revisionPtr revIDLastSave="0" documentId="13_ncr:1_{79A9590E-01F1-46F3-BF54-5F59DABCEE74}" xr6:coauthVersionLast="47" xr6:coauthVersionMax="47" xr10:uidLastSave="{00000000-0000-0000-0000-000000000000}"/>
  <x:bookViews>
    <x:workbookView xWindow="28680" yWindow="-120" windowWidth="24240" windowHeight="13140" xr2:uid="{6ACEEE8F-4149-4E8C-9745-FBC2D0F156E5}"/>
  </x:bookViews>
  <x:sheets>
    <x:sheet name="Sheet26" sheetId="35" r:id="rId1"/>
    <x:sheet name="SSum" sheetId="1" r:id="rId2"/>
    <x:sheet name="S1" sheetId="2" r:id="rId3"/>
    <x:sheet name="S2" sheetId="3" r:id="rId4"/>
    <x:sheet name="S3" sheetId="4" r:id="rId5"/>
    <x:sheet name="S4" sheetId="5" r:id="rId6"/>
    <x:sheet name="S5" sheetId="6" r:id="rId7"/>
    <x:sheet name="SAdj" sheetId="9" r:id="rId8"/>
    <x:sheet name="SG" sheetId="8" r:id="rId9"/>
    <x:sheet name="RSum" sheetId="10" r:id="rId10"/>
    <x:sheet name="R1" sheetId="11" r:id="rId11"/>
    <x:sheet name="R2" sheetId="12" r:id="rId12"/>
    <x:sheet name="R3" sheetId="13" r:id="rId13"/>
    <x:sheet name="R4" sheetId="14" r:id="rId14"/>
    <x:sheet name="RAdj" sheetId="17" r:id="rId15"/>
    <x:sheet name="RG" sheetId="18" r:id="rId16"/>
    <x:sheet name="BOI" sheetId="19" r:id="rId17"/>
    <x:sheet name="Cap Sales" sheetId="30" r:id="rId18"/>
    <x:sheet name="Ins" sheetId="31" r:id="rId19"/>
    <x:sheet name="Tax" sheetId="32" r:id="rId20"/>
    <x:sheet name="Final" sheetId="33" r:id="rId21"/>
    <x:sheet name="AddC" sheetId="34" r:id="rId22"/>
  </x:sheets>
  <x:definedNames>
    <x:definedName name="Band_of_Investment_Assumptions">BOI!$H$2:$J$8</x:definedName>
    <x:definedName name="DSCR">BOI!$V$3:$Y$4</x:definedName>
    <x:definedName name="Income_Proforma">BOI!$B$2:$F$14</x:definedName>
    <x:definedName name="Mortgage_Equity_CapRate">BOI!$L$3:$R$6</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calcChain xmlns="http://schemas.openxmlformats.org/spreadsheetml/2006/main">
  <c r="D14" i="31" l="1"/>
  <c r="C8" i="31"/>
  <c r="W4" i="19"/>
  <c r="J40" i="10"/>
  <c r="J43" i="10" a="1"/>
  <c r="J43" i="10" s="1"/>
  <c r="J30" i="10"/>
  <c r="J31" i="10"/>
  <c r="J32" i="10"/>
  <c r="J33" i="10"/>
  <c r="J29" i="10"/>
  <c r="I40" i="10"/>
  <c r="I31" i="10"/>
  <c r="I32" i="10" s="1"/>
  <c r="I33" i="10" s="1"/>
  <c r="I34" i="10" s="1"/>
  <c r="I35" i="10" s="1"/>
  <c r="I36" i="10" s="1"/>
  <c r="I37" i="10" s="1"/>
  <c r="I38" i="10" s="1"/>
  <c r="I30" i="10"/>
  <c r="G23" i="18"/>
  <c r="F23" i="18"/>
  <c r="E23" i="18"/>
  <c r="D23" i="18"/>
  <c r="B23" i="18"/>
  <c r="G9" i="17"/>
  <c r="Z9" i="10"/>
  <c r="W9" i="10"/>
  <c r="Q9" i="10"/>
  <c r="Z8" i="10"/>
  <c r="W8" i="10"/>
  <c r="Q8" i="10"/>
  <c r="Z7" i="10"/>
  <c r="W7" i="10"/>
  <c r="Q7" i="10"/>
  <c r="Z6" i="10"/>
  <c r="W6" i="10"/>
  <c r="Q6" i="10"/>
  <c r="I20" i="10"/>
  <c r="I21" i="10" s="1"/>
  <c r="I22" i="10" s="1"/>
  <c r="I23" i="10" s="1"/>
  <c r="I24" i="10" s="1"/>
  <c r="M16" i="9"/>
  <c r="N13" i="9"/>
  <c r="N14" i="9"/>
  <c r="N16" i="9" s="1"/>
  <c r="N15" i="9"/>
  <c r="N7" i="9"/>
  <c r="H27" i="8"/>
  <c r="G27" i="8"/>
  <c r="F27" i="8"/>
  <c r="E27" i="8"/>
  <c r="D27" i="8"/>
  <c r="B27" i="8"/>
  <c r="G48" i="8"/>
  <c r="H48" i="8"/>
  <c r="F48" i="8"/>
  <c r="E48" i="8"/>
  <c r="D48" i="8"/>
  <c r="AA7" i="1"/>
  <c r="R7" i="1"/>
  <c r="I26" i="10" l="1"/>
  <c r="G5" i="9"/>
  <c r="AG10" i="1"/>
  <c r="AF10" i="1"/>
  <c r="AA10" i="1"/>
  <c r="X10" i="1"/>
  <c r="R10" i="1"/>
  <c r="P10" i="1"/>
  <c r="G10" i="1"/>
  <c r="AG9" i="1"/>
  <c r="AF9" i="1"/>
  <c r="AA9" i="1"/>
  <c r="X9" i="1"/>
  <c r="R9" i="1"/>
  <c r="P9" i="1"/>
  <c r="G9" i="1"/>
  <c r="AG8" i="1"/>
  <c r="AF8" i="1"/>
  <c r="AA8" i="1"/>
  <c r="X8" i="1"/>
  <c r="R8" i="1"/>
  <c r="P8" i="1"/>
  <c r="G8" i="1"/>
  <c r="X7" i="1"/>
  <c r="P7" i="1"/>
  <c r="G7" i="1"/>
  <c r="AA6" i="1"/>
  <c r="X6" i="1"/>
  <c r="R6" i="1"/>
  <c r="P6" i="1"/>
  <c r="G6" i="1"/>
  <c r="Z3" i="1"/>
  <c r="X3" i="1"/>
  <c r="T3" i="1"/>
  <c r="S3" i="1"/>
  <c r="D48" i="35"/>
  <c r="AG16" i="1"/>
  <c r="AF16" i="1"/>
  <c r="AA16" i="1"/>
  <c r="X16" i="1"/>
  <c r="R16" i="1"/>
  <c r="P16" i="1"/>
  <c r="G16" i="1"/>
  <c r="AG15" i="1"/>
  <c r="AF15" i="1"/>
  <c r="AA15" i="1"/>
  <c r="X15" i="1"/>
  <c r="R15" i="1"/>
  <c r="P15" i="1"/>
  <c r="G15" i="1"/>
  <c r="D45" i="35" l="1"/>
  <c r="AA3" i="1" s="1"/>
  <c r="C27" i="8" s="1"/>
  <c r="B24" i="14"/>
  <c r="B23" i="14"/>
  <c r="B24" i="13"/>
  <c r="B23" i="13"/>
  <c r="B20" i="13"/>
  <c r="B24" i="12"/>
  <c r="B23" i="12"/>
  <c r="B24" i="11"/>
  <c r="B23" i="11"/>
  <c r="A25" i="12"/>
  <c r="A25" i="13"/>
  <c r="A25" i="14"/>
  <c r="A25" i="11"/>
  <c r="A24" i="12"/>
  <c r="A24" i="13"/>
  <c r="A24" i="14"/>
  <c r="A24" i="11"/>
  <c r="A23" i="12"/>
  <c r="A23" i="13"/>
  <c r="A23" i="14"/>
  <c r="A23" i="11"/>
  <c r="A20" i="12"/>
  <c r="A20" i="13"/>
  <c r="A20" i="14"/>
  <c r="A20" i="11"/>
  <c r="B20" i="11"/>
  <c r="A2" i="30"/>
  <c r="A1" i="30"/>
  <c r="A4" i="30"/>
  <c r="A3" i="30"/>
  <c r="B25" i="14"/>
  <c r="B20" i="14"/>
  <c r="B25" i="13"/>
  <c r="Y3" i="10"/>
  <c r="T3" i="10"/>
  <c r="U3" i="1"/>
  <c r="P3" i="10"/>
  <c r="B25" i="12"/>
  <c r="B20" i="12"/>
  <c r="B25" i="11"/>
  <c r="D8" i="32" l="1"/>
  <c r="D10" i="32" s="1"/>
  <c r="D12" i="32" s="1"/>
  <c r="D50" i="35" l="1"/>
  <c r="Q3" i="1"/>
  <c r="A29" i="13" l="1"/>
  <c r="D57" i="18" l="1"/>
  <c r="G22" i="18"/>
  <c r="F22" i="18"/>
  <c r="E22" i="18"/>
  <c r="D22" i="18"/>
  <c r="B22" i="18"/>
  <c r="B55" i="18" s="1"/>
  <c r="C22" i="18"/>
  <c r="C55" i="18" s="1"/>
  <c r="B24" i="18"/>
  <c r="G21" i="18"/>
  <c r="F21" i="18"/>
  <c r="E21" i="18"/>
  <c r="D21" i="18"/>
  <c r="C21" i="18"/>
  <c r="C54" i="18" s="1"/>
  <c r="B21" i="18"/>
  <c r="B54" i="18" s="1"/>
  <c r="B19" i="18"/>
  <c r="B52" i="18" s="1"/>
  <c r="G19" i="18" l="1"/>
  <c r="F19" i="18"/>
  <c r="E19" i="18"/>
  <c r="D19" i="18"/>
  <c r="D62" i="8"/>
  <c r="E28" i="8"/>
  <c r="H62" i="8"/>
  <c r="G62" i="8"/>
  <c r="F62" i="8"/>
  <c r="E62" i="8"/>
  <c r="H28" i="8"/>
  <c r="G28" i="8"/>
  <c r="F28" i="8"/>
  <c r="D28" i="8"/>
  <c r="B28" i="8"/>
  <c r="C28" i="8"/>
  <c r="C61" i="8" s="1"/>
  <c r="W3" i="1"/>
  <c r="A28" i="3" l="1"/>
  <c r="A28" i="4"/>
  <c r="A28" i="5"/>
  <c r="A28" i="6"/>
  <c r="A28" i="2"/>
  <c r="B26" i="6"/>
  <c r="H25" i="8" s="1"/>
  <c r="B26" i="5"/>
  <c r="G25" i="8" s="1"/>
  <c r="B26" i="4"/>
  <c r="F25" i="8" s="1"/>
  <c r="B26" i="3"/>
  <c r="E25" i="8" s="1"/>
  <c r="B26" i="2"/>
  <c r="D25" i="8" s="1"/>
  <c r="A26" i="3"/>
  <c r="A26" i="4"/>
  <c r="A26" i="5"/>
  <c r="A26" i="6"/>
  <c r="A26" i="2"/>
  <c r="C25" i="8"/>
  <c r="B25" i="8"/>
  <c r="B20" i="8"/>
  <c r="B54" i="8" s="1"/>
  <c r="B53" i="8"/>
  <c r="A20" i="3"/>
  <c r="A20" i="4"/>
  <c r="A20" i="5"/>
  <c r="A20" i="6"/>
  <c r="A20" i="2"/>
  <c r="M13" i="9" l="1"/>
  <c r="K13" i="9"/>
  <c r="L13" i="9"/>
  <c r="J13" i="9"/>
  <c r="B28" i="6"/>
  <c r="B20" i="6"/>
  <c r="H20" i="8" s="1"/>
  <c r="B28" i="2"/>
  <c r="B20" i="2"/>
  <c r="D20" i="8" s="1"/>
  <c r="B28" i="3"/>
  <c r="B20" i="3"/>
  <c r="E20" i="8" s="1"/>
  <c r="B28" i="4"/>
  <c r="B20" i="4"/>
  <c r="F20" i="8" s="1"/>
  <c r="B28" i="5"/>
  <c r="B20" i="5"/>
  <c r="G20" i="8" s="1"/>
  <c r="B19" i="4" l="1"/>
  <c r="F19" i="8"/>
  <c r="H19" i="8"/>
  <c r="B19" i="6"/>
  <c r="G19" i="8"/>
  <c r="B19" i="5"/>
  <c r="B19" i="3"/>
  <c r="E19" i="8"/>
  <c r="D19" i="8"/>
  <c r="B19" i="2"/>
  <c r="D2" i="32"/>
  <c r="D39" i="35"/>
  <c r="R3" i="1" s="1"/>
  <c r="G6" i="33"/>
  <c r="D8" i="33" s="1"/>
  <c r="G4" i="33"/>
  <c r="D6" i="33" s="1"/>
  <c r="D10" i="33"/>
  <c r="C6" i="33"/>
  <c r="AB3" i="10" l="1"/>
  <c r="AA3" i="10"/>
  <c r="V3" i="10"/>
  <c r="U1" i="10"/>
  <c r="U3" i="10"/>
  <c r="S3" i="10"/>
  <c r="R3" i="10"/>
  <c r="O3" i="10"/>
  <c r="M3" i="10"/>
  <c r="Z3" i="10" s="1"/>
  <c r="C23" i="18" s="1"/>
  <c r="D3" i="10"/>
  <c r="C3" i="10"/>
  <c r="B3" i="10"/>
  <c r="AC3" i="1"/>
  <c r="W3" i="10"/>
  <c r="V3" i="1"/>
  <c r="N3" i="1"/>
  <c r="M3" i="1"/>
  <c r="D3" i="1"/>
  <c r="C3" i="1"/>
  <c r="B3" i="1"/>
  <c r="D53" i="35"/>
  <c r="D20" i="35"/>
  <c r="O3" i="1" l="1"/>
  <c r="D40" i="35"/>
  <c r="P3" i="1" s="1"/>
  <c r="C19" i="8" s="1"/>
  <c r="C53" i="8" s="1"/>
  <c r="C20" i="8"/>
  <c r="Q3" i="10"/>
  <c r="C19" i="18" s="1"/>
  <c r="C52" i="18" s="1"/>
  <c r="C54" i="8" l="1"/>
  <c r="N5" i="9"/>
  <c r="N6" i="9" s="1"/>
  <c r="N8" i="9" s="1"/>
  <c r="B6" i="34"/>
  <c r="C6" i="34" s="1"/>
  <c r="C7" i="34" s="1"/>
  <c r="B9" i="34"/>
  <c r="C16" i="34"/>
  <c r="C18" i="34"/>
  <c r="B21" i="34"/>
  <c r="C19" i="34" l="1"/>
  <c r="C21" i="34" s="1"/>
  <c r="C9" i="34"/>
  <c r="C10" i="34" s="1"/>
  <c r="C22" i="34"/>
  <c r="C8" i="33"/>
  <c r="C10" i="33"/>
  <c r="C9" i="32" l="1"/>
  <c r="D12" i="31" l="1"/>
  <c r="F12" i="31" s="1"/>
  <c r="D13" i="31"/>
  <c r="F13" i="31" s="1"/>
  <c r="F14" i="31"/>
  <c r="D15" i="31"/>
  <c r="F15" i="31" l="1"/>
  <c r="E15" i="31" s="1"/>
  <c r="H6" i="30"/>
  <c r="I6" i="30"/>
  <c r="H12" i="30"/>
  <c r="I12" i="30"/>
  <c r="H20" i="30"/>
  <c r="I20" i="30"/>
  <c r="H10" i="30"/>
  <c r="I10" i="30"/>
  <c r="H18" i="30"/>
  <c r="I18" i="30"/>
  <c r="H14" i="30"/>
  <c r="I14" i="30"/>
  <c r="H8" i="30"/>
  <c r="I8" i="30"/>
  <c r="H16" i="30"/>
  <c r="I16" i="30"/>
  <c r="F16" i="31" l="1"/>
  <c r="F17" i="31" s="1"/>
  <c r="M4" i="19"/>
  <c r="V4" i="19"/>
  <c r="O5" i="19"/>
  <c r="I6" i="19"/>
  <c r="O13" i="19" s="1"/>
  <c r="T13" i="19" s="1"/>
  <c r="M13" i="19"/>
  <c r="M14" i="19" s="1"/>
  <c r="O14" i="19"/>
  <c r="M15" i="19"/>
  <c r="O15" i="19"/>
  <c r="Q15" i="19"/>
  <c r="O18" i="19"/>
  <c r="O19" i="19"/>
  <c r="O23" i="19" s="1"/>
  <c r="O24" i="19" s="1"/>
  <c r="C3" i="18"/>
  <c r="C29" i="18" s="1"/>
  <c r="C4" i="18"/>
  <c r="C30" i="18" s="1"/>
  <c r="C5" i="18"/>
  <c r="B7" i="18"/>
  <c r="B8" i="18"/>
  <c r="B9" i="18"/>
  <c r="B10" i="18"/>
  <c r="B11" i="18"/>
  <c r="B32" i="18" s="1"/>
  <c r="B12" i="18"/>
  <c r="B14" i="18"/>
  <c r="B48" i="18" s="1"/>
  <c r="C14" i="18"/>
  <c r="C48" i="18" s="1"/>
  <c r="B15" i="18"/>
  <c r="C15" i="18"/>
  <c r="B16" i="18"/>
  <c r="B49" i="18" s="1"/>
  <c r="C16" i="18"/>
  <c r="C49" i="18" s="1"/>
  <c r="B17" i="18"/>
  <c r="C17" i="18"/>
  <c r="C50" i="18" s="1"/>
  <c r="B18" i="18"/>
  <c r="B51" i="18" s="1"/>
  <c r="C18" i="18"/>
  <c r="C51" i="18" s="1"/>
  <c r="B20" i="18"/>
  <c r="B53" i="18" s="1"/>
  <c r="C24" i="18"/>
  <c r="B25" i="18"/>
  <c r="B56" i="18" s="1"/>
  <c r="C25" i="18"/>
  <c r="C56" i="18" s="1"/>
  <c r="D28" i="18"/>
  <c r="E28" i="18"/>
  <c r="F28" i="18"/>
  <c r="G28" i="18"/>
  <c r="B34" i="18"/>
  <c r="B39" i="18"/>
  <c r="B42" i="18"/>
  <c r="B45" i="18"/>
  <c r="B50" i="18"/>
  <c r="E57" i="18"/>
  <c r="F57" i="18"/>
  <c r="G57" i="18"/>
  <c r="B58" i="18"/>
  <c r="I62" i="18"/>
  <c r="K62" i="18" s="1"/>
  <c r="F4" i="19" s="1"/>
  <c r="F7" i="19" s="1"/>
  <c r="F8" i="19" s="1"/>
  <c r="E4" i="17"/>
  <c r="B1" i="14"/>
  <c r="A3" i="14"/>
  <c r="B3" i="14"/>
  <c r="G3" i="18" s="1"/>
  <c r="B4" i="14"/>
  <c r="G4" i="18" s="1"/>
  <c r="G30" i="18" s="1"/>
  <c r="A5" i="14"/>
  <c r="B5" i="14"/>
  <c r="G5" i="18" s="1"/>
  <c r="A7" i="14"/>
  <c r="B7" i="14"/>
  <c r="G34" i="18" s="1"/>
  <c r="A8" i="14"/>
  <c r="B8" i="14"/>
  <c r="G7" i="18" s="1"/>
  <c r="A9" i="14"/>
  <c r="B9" i="14"/>
  <c r="G8" i="18" s="1"/>
  <c r="A10" i="14"/>
  <c r="B10" i="14"/>
  <c r="G9" i="18" s="1"/>
  <c r="G43" i="18" s="1"/>
  <c r="A11" i="14"/>
  <c r="B11" i="14"/>
  <c r="G10" i="18" s="1"/>
  <c r="A12" i="14"/>
  <c r="B12" i="14"/>
  <c r="G11" i="18" s="1"/>
  <c r="G32" i="18" s="1"/>
  <c r="G36" i="18" s="1"/>
  <c r="G39" i="18" s="1"/>
  <c r="A13" i="14"/>
  <c r="B13" i="14"/>
  <c r="G12" i="18" s="1"/>
  <c r="G37" i="18" s="1"/>
  <c r="A14" i="14"/>
  <c r="B14" i="14"/>
  <c r="A16" i="14"/>
  <c r="B16" i="14"/>
  <c r="G14" i="18" s="1"/>
  <c r="G31" i="18" s="1"/>
  <c r="E8" i="17" s="1"/>
  <c r="A17" i="14"/>
  <c r="B17" i="14"/>
  <c r="G15" i="18" s="1"/>
  <c r="A18" i="14"/>
  <c r="B18" i="14"/>
  <c r="G16" i="18" s="1"/>
  <c r="A19" i="14"/>
  <c r="B19" i="14"/>
  <c r="G17" i="18" s="1"/>
  <c r="A21" i="14"/>
  <c r="B21" i="14"/>
  <c r="G18" i="18" s="1"/>
  <c r="A22" i="14"/>
  <c r="A26" i="14"/>
  <c r="B26" i="14"/>
  <c r="G24" i="18" s="1"/>
  <c r="A27" i="14"/>
  <c r="B27" i="14"/>
  <c r="G25" i="18" s="1"/>
  <c r="A29" i="14"/>
  <c r="B1" i="13"/>
  <c r="A3" i="13"/>
  <c r="B3" i="13"/>
  <c r="F3" i="18" s="1"/>
  <c r="B4" i="13"/>
  <c r="F4" i="18" s="1"/>
  <c r="F30" i="18" s="1"/>
  <c r="A5" i="13"/>
  <c r="B5" i="13"/>
  <c r="F5" i="18" s="1"/>
  <c r="A7" i="13"/>
  <c r="B7" i="13"/>
  <c r="F34" i="18" s="1"/>
  <c r="A8" i="13"/>
  <c r="B8" i="13"/>
  <c r="F7" i="18" s="1"/>
  <c r="A9" i="13"/>
  <c r="B9" i="13"/>
  <c r="F8" i="18" s="1"/>
  <c r="A10" i="13"/>
  <c r="B10" i="13"/>
  <c r="F9" i="18" s="1"/>
  <c r="F43" i="18" s="1"/>
  <c r="A11" i="13"/>
  <c r="B11" i="13"/>
  <c r="F10" i="18" s="1"/>
  <c r="A12" i="13"/>
  <c r="B12" i="13"/>
  <c r="F11" i="18" s="1"/>
  <c r="F32" i="18" s="1"/>
  <c r="F36" i="18" s="1"/>
  <c r="F39" i="18" s="1"/>
  <c r="F42" i="18" s="1"/>
  <c r="F44" i="18" s="1"/>
  <c r="A13" i="13"/>
  <c r="B13" i="13"/>
  <c r="F12" i="18" s="1"/>
  <c r="F37" i="18" s="1"/>
  <c r="A14" i="13"/>
  <c r="B14" i="13"/>
  <c r="A16" i="13"/>
  <c r="B16" i="13"/>
  <c r="F14" i="18" s="1"/>
  <c r="F31" i="18" s="1"/>
  <c r="E9" i="17" s="1"/>
  <c r="A17" i="13"/>
  <c r="B17" i="13"/>
  <c r="F15" i="18" s="1"/>
  <c r="A18" i="13"/>
  <c r="B18" i="13"/>
  <c r="F16" i="18" s="1"/>
  <c r="A19" i="13"/>
  <c r="B19" i="13"/>
  <c r="F17" i="18" s="1"/>
  <c r="A21" i="13"/>
  <c r="B21" i="13"/>
  <c r="F18" i="18" s="1"/>
  <c r="A22" i="13"/>
  <c r="A26" i="13"/>
  <c r="B26" i="13"/>
  <c r="F24" i="18" s="1"/>
  <c r="A27" i="13"/>
  <c r="B27" i="13"/>
  <c r="F25" i="18" s="1"/>
  <c r="A3" i="12"/>
  <c r="B3" i="12"/>
  <c r="E3" i="18" s="1"/>
  <c r="E29" i="18" s="1"/>
  <c r="B4" i="12"/>
  <c r="E4" i="18" s="1"/>
  <c r="E30" i="18" s="1"/>
  <c r="A5" i="12"/>
  <c r="B5" i="12"/>
  <c r="E5" i="18" s="1"/>
  <c r="A7" i="12"/>
  <c r="B7" i="12"/>
  <c r="E34" i="18" s="1"/>
  <c r="A8" i="12"/>
  <c r="B8" i="12"/>
  <c r="E7" i="18" s="1"/>
  <c r="A9" i="12"/>
  <c r="B9" i="12"/>
  <c r="E8" i="18" s="1"/>
  <c r="A10" i="12"/>
  <c r="B10" i="12"/>
  <c r="E9" i="18" s="1"/>
  <c r="E43" i="18" s="1"/>
  <c r="A11" i="12"/>
  <c r="B11" i="12"/>
  <c r="E10" i="18" s="1"/>
  <c r="A12" i="12"/>
  <c r="B12" i="12"/>
  <c r="E11" i="18" s="1"/>
  <c r="E32" i="18" s="1"/>
  <c r="E36" i="18" s="1"/>
  <c r="E39" i="18" s="1"/>
  <c r="E42" i="18" s="1"/>
  <c r="E44" i="18" s="1"/>
  <c r="A13" i="12"/>
  <c r="B13" i="12"/>
  <c r="E12" i="18" s="1"/>
  <c r="E37" i="18" s="1"/>
  <c r="A14" i="12"/>
  <c r="B14" i="12"/>
  <c r="A16" i="12"/>
  <c r="B16" i="12"/>
  <c r="E14" i="18" s="1"/>
  <c r="E31" i="18" s="1"/>
  <c r="E6" i="17" s="1"/>
  <c r="A17" i="12"/>
  <c r="B17" i="12"/>
  <c r="E15" i="18" s="1"/>
  <c r="A18" i="12"/>
  <c r="B18" i="12"/>
  <c r="E16" i="18" s="1"/>
  <c r="A19" i="12"/>
  <c r="B19" i="12"/>
  <c r="E17" i="18" s="1"/>
  <c r="A21" i="12"/>
  <c r="B21" i="12"/>
  <c r="E18" i="18" s="1"/>
  <c r="A22" i="12"/>
  <c r="A26" i="12"/>
  <c r="B26" i="12"/>
  <c r="E24" i="18" s="1"/>
  <c r="A27" i="12"/>
  <c r="B27" i="12"/>
  <c r="E25" i="18" s="1"/>
  <c r="A29" i="12"/>
  <c r="B1" i="11"/>
  <c r="A3" i="11"/>
  <c r="B3" i="11"/>
  <c r="D3" i="18" s="1"/>
  <c r="D29" i="18" s="1"/>
  <c r="B4" i="11"/>
  <c r="D4" i="18" s="1"/>
  <c r="D30" i="18" s="1"/>
  <c r="A5" i="11"/>
  <c r="B5" i="11"/>
  <c r="D5" i="18" s="1"/>
  <c r="A7" i="11"/>
  <c r="B7" i="11"/>
  <c r="D34" i="18" s="1"/>
  <c r="A8" i="11"/>
  <c r="B8" i="11"/>
  <c r="D7" i="18" s="1"/>
  <c r="A9" i="11"/>
  <c r="B9" i="11"/>
  <c r="D8" i="18" s="1"/>
  <c r="A10" i="11"/>
  <c r="B10" i="11"/>
  <c r="D9" i="18" s="1"/>
  <c r="D43" i="18" s="1"/>
  <c r="A11" i="11"/>
  <c r="B11" i="11"/>
  <c r="D10" i="18" s="1"/>
  <c r="A12" i="11"/>
  <c r="B12" i="11"/>
  <c r="D11" i="18" s="1"/>
  <c r="D32" i="18" s="1"/>
  <c r="A13" i="11"/>
  <c r="B13" i="11"/>
  <c r="D12" i="18" s="1"/>
  <c r="D37" i="18" s="1"/>
  <c r="A14" i="11"/>
  <c r="B14" i="11"/>
  <c r="A16" i="11"/>
  <c r="B16" i="11"/>
  <c r="D14" i="18" s="1"/>
  <c r="D31" i="18" s="1"/>
  <c r="E5" i="17" s="1"/>
  <c r="A17" i="11"/>
  <c r="B17" i="11"/>
  <c r="D15" i="18" s="1"/>
  <c r="A18" i="11"/>
  <c r="B18" i="11"/>
  <c r="D16" i="18" s="1"/>
  <c r="A19" i="11"/>
  <c r="B19" i="11"/>
  <c r="D17" i="18" s="1"/>
  <c r="A21" i="11"/>
  <c r="B21" i="11"/>
  <c r="D18" i="18" s="1"/>
  <c r="A22" i="11"/>
  <c r="A26" i="11"/>
  <c r="B26" i="11"/>
  <c r="D24" i="18" s="1"/>
  <c r="A27" i="11"/>
  <c r="B27" i="11"/>
  <c r="D25" i="18" s="1"/>
  <c r="A29" i="11"/>
  <c r="C20" i="18"/>
  <c r="C53" i="18" s="1"/>
  <c r="B22" i="11"/>
  <c r="D20" i="18" s="1"/>
  <c r="B22" i="12"/>
  <c r="E20" i="18" s="1"/>
  <c r="B22" i="13"/>
  <c r="F20" i="18" s="1"/>
  <c r="B22" i="14"/>
  <c r="G20" i="18" s="1"/>
  <c r="E45" i="18" l="1"/>
  <c r="E58" i="18" s="1"/>
  <c r="G62" i="18"/>
  <c r="F45" i="18"/>
  <c r="F58" i="18" s="1"/>
  <c r="T14" i="19"/>
  <c r="D62" i="18"/>
  <c r="F62" i="18"/>
  <c r="C62" i="18"/>
  <c r="E62" i="18"/>
  <c r="G42" i="18"/>
  <c r="G44" i="18" s="1"/>
  <c r="G29" i="18"/>
  <c r="B31" i="18"/>
  <c r="F29" i="18"/>
  <c r="D36" i="18"/>
  <c r="D39" i="18" s="1"/>
  <c r="C31" i="18"/>
  <c r="T15" i="19"/>
  <c r="T16" i="19" s="1"/>
  <c r="O26" i="19" s="1"/>
  <c r="F9" i="19"/>
  <c r="M5" i="19"/>
  <c r="R5" i="19" s="1"/>
  <c r="O4" i="19"/>
  <c r="R4" i="19" s="1"/>
  <c r="Y4" i="19"/>
  <c r="K71" i="18" s="1"/>
  <c r="B11" i="3"/>
  <c r="J69" i="8"/>
  <c r="L69" i="8" s="1"/>
  <c r="G45" i="18" l="1"/>
  <c r="G58" i="18" s="1"/>
  <c r="R6" i="19"/>
  <c r="K70" i="18" s="1"/>
  <c r="D42" i="18"/>
  <c r="D44" i="18" s="1"/>
  <c r="D11" i="19"/>
  <c r="C17" i="19" s="1"/>
  <c r="D12" i="19"/>
  <c r="C18" i="19" s="1"/>
  <c r="E7" i="17"/>
  <c r="B4" i="17"/>
  <c r="H31" i="8"/>
  <c r="G31" i="8"/>
  <c r="F31" i="8"/>
  <c r="E31" i="8"/>
  <c r="D31" i="8"/>
  <c r="C26" i="8"/>
  <c r="C60" i="8" s="1"/>
  <c r="B26" i="8"/>
  <c r="B60" i="8" s="1"/>
  <c r="C59" i="8"/>
  <c r="B59" i="8"/>
  <c r="C23" i="8"/>
  <c r="C57" i="8" s="1"/>
  <c r="B23" i="8"/>
  <c r="B57" i="8" s="1"/>
  <c r="C22" i="8"/>
  <c r="C56" i="8" s="1"/>
  <c r="B22" i="8"/>
  <c r="B56" i="8" s="1"/>
  <c r="B24" i="8"/>
  <c r="B58" i="8" s="1"/>
  <c r="C21" i="8"/>
  <c r="C55" i="8" s="1"/>
  <c r="B21" i="8"/>
  <c r="B55" i="8" s="1"/>
  <c r="C18" i="8"/>
  <c r="B18" i="8"/>
  <c r="C17" i="8"/>
  <c r="B17" i="8"/>
  <c r="C16" i="8"/>
  <c r="C52" i="8" s="1"/>
  <c r="B16" i="8"/>
  <c r="B52" i="8" s="1"/>
  <c r="C4" i="8"/>
  <c r="C33" i="8" s="1"/>
  <c r="C3" i="8"/>
  <c r="A30" i="6"/>
  <c r="B27" i="6"/>
  <c r="H26" i="8" s="1"/>
  <c r="A27" i="6"/>
  <c r="B25" i="6"/>
  <c r="A25" i="6"/>
  <c r="B23" i="6"/>
  <c r="H23" i="8" s="1"/>
  <c r="A23" i="6"/>
  <c r="B22" i="6"/>
  <c r="H22" i="8" s="1"/>
  <c r="A22" i="6"/>
  <c r="A24" i="6"/>
  <c r="B21" i="6"/>
  <c r="H21" i="8" s="1"/>
  <c r="A21" i="6"/>
  <c r="B18" i="6"/>
  <c r="H18" i="8" s="1"/>
  <c r="A18" i="6"/>
  <c r="B17" i="6"/>
  <c r="H17" i="8" s="1"/>
  <c r="A17" i="6"/>
  <c r="B16" i="6"/>
  <c r="H16" i="8" s="1"/>
  <c r="A16" i="6"/>
  <c r="B14" i="6"/>
  <c r="H14" i="8" s="1"/>
  <c r="A14" i="6"/>
  <c r="B13" i="6"/>
  <c r="H13" i="8" s="1"/>
  <c r="A13" i="6"/>
  <c r="B12" i="6"/>
  <c r="H12" i="8" s="1"/>
  <c r="H38" i="8" s="1"/>
  <c r="A12" i="6"/>
  <c r="B11" i="6"/>
  <c r="H11" i="8" s="1"/>
  <c r="A11" i="6"/>
  <c r="B10" i="6"/>
  <c r="H10" i="8" s="1"/>
  <c r="A10" i="6"/>
  <c r="A9" i="6"/>
  <c r="B8" i="6"/>
  <c r="H8" i="8" s="1"/>
  <c r="A8" i="6"/>
  <c r="B7" i="6"/>
  <c r="H7" i="8" s="1"/>
  <c r="H47" i="8" s="1"/>
  <c r="A7" i="6"/>
  <c r="B5" i="6"/>
  <c r="H5" i="8" s="1"/>
  <c r="A5" i="6"/>
  <c r="B4" i="6"/>
  <c r="H4" i="8" s="1"/>
  <c r="H33" i="8" s="1"/>
  <c r="B3" i="6"/>
  <c r="H3" i="8" s="1"/>
  <c r="A3" i="6"/>
  <c r="B1" i="6"/>
  <c r="A30" i="5"/>
  <c r="B27" i="5"/>
  <c r="G26" i="8" s="1"/>
  <c r="A27" i="5"/>
  <c r="B25" i="5"/>
  <c r="A25" i="5"/>
  <c r="B23" i="5"/>
  <c r="G23" i="8" s="1"/>
  <c r="A23" i="5"/>
  <c r="B22" i="5"/>
  <c r="G22" i="8" s="1"/>
  <c r="A22" i="5"/>
  <c r="A24" i="5"/>
  <c r="B21" i="5"/>
  <c r="G21" i="8" s="1"/>
  <c r="A21" i="5"/>
  <c r="B18" i="5"/>
  <c r="G18" i="8" s="1"/>
  <c r="A18" i="5"/>
  <c r="B17" i="5"/>
  <c r="G17" i="8" s="1"/>
  <c r="A17" i="5"/>
  <c r="B16" i="5"/>
  <c r="G16" i="8" s="1"/>
  <c r="M14" i="9" s="1"/>
  <c r="A16" i="5"/>
  <c r="B14" i="5"/>
  <c r="G14" i="8" s="1"/>
  <c r="A14" i="5"/>
  <c r="B13" i="5"/>
  <c r="G13" i="8" s="1"/>
  <c r="A13" i="5"/>
  <c r="B12" i="5"/>
  <c r="G12" i="8" s="1"/>
  <c r="G38" i="8" s="1"/>
  <c r="A12" i="5"/>
  <c r="B11" i="5"/>
  <c r="G11" i="8" s="1"/>
  <c r="A11" i="5"/>
  <c r="B10" i="5"/>
  <c r="G10" i="8" s="1"/>
  <c r="A10" i="5"/>
  <c r="A9" i="5"/>
  <c r="B8" i="5"/>
  <c r="G8" i="8" s="1"/>
  <c r="M15" i="9" s="1"/>
  <c r="A8" i="5"/>
  <c r="B7" i="5"/>
  <c r="G7" i="8" s="1"/>
  <c r="G47" i="8" s="1"/>
  <c r="A7" i="5"/>
  <c r="B5" i="5"/>
  <c r="G5" i="8" s="1"/>
  <c r="A5" i="5"/>
  <c r="B4" i="5"/>
  <c r="G4" i="8" s="1"/>
  <c r="G33" i="8" s="1"/>
  <c r="B3" i="5"/>
  <c r="G3" i="8" s="1"/>
  <c r="A3" i="5"/>
  <c r="B1" i="5"/>
  <c r="A30" i="4"/>
  <c r="B27" i="4"/>
  <c r="F26" i="8" s="1"/>
  <c r="A27" i="4"/>
  <c r="B25" i="4"/>
  <c r="A25" i="4"/>
  <c r="B23" i="4"/>
  <c r="F23" i="8" s="1"/>
  <c r="A23" i="4"/>
  <c r="B22" i="4"/>
  <c r="F22" i="8" s="1"/>
  <c r="A22" i="4"/>
  <c r="A24" i="4"/>
  <c r="B21" i="4"/>
  <c r="F21" i="8" s="1"/>
  <c r="A21" i="4"/>
  <c r="B18" i="4"/>
  <c r="F18" i="8" s="1"/>
  <c r="A18" i="4"/>
  <c r="B17" i="4"/>
  <c r="F17" i="8" s="1"/>
  <c r="A17" i="4"/>
  <c r="B16" i="4"/>
  <c r="F16" i="8" s="1"/>
  <c r="L14" i="9" s="1"/>
  <c r="A16" i="4"/>
  <c r="B14" i="4"/>
  <c r="F14" i="8" s="1"/>
  <c r="A14" i="4"/>
  <c r="B13" i="4"/>
  <c r="F13" i="8" s="1"/>
  <c r="A13" i="4"/>
  <c r="B12" i="4"/>
  <c r="F12" i="8" s="1"/>
  <c r="F38" i="8" s="1"/>
  <c r="A12" i="4"/>
  <c r="B11" i="4"/>
  <c r="F11" i="8" s="1"/>
  <c r="A11" i="4"/>
  <c r="B10" i="4"/>
  <c r="F10" i="8" s="1"/>
  <c r="A10" i="4"/>
  <c r="A9" i="4"/>
  <c r="B8" i="4"/>
  <c r="F8" i="8" s="1"/>
  <c r="L15" i="9" s="1"/>
  <c r="A8" i="4"/>
  <c r="B7" i="4"/>
  <c r="F7" i="8" s="1"/>
  <c r="F47" i="8" s="1"/>
  <c r="A7" i="4"/>
  <c r="B5" i="4"/>
  <c r="F5" i="8" s="1"/>
  <c r="A5" i="4"/>
  <c r="B4" i="4"/>
  <c r="F4" i="8" s="1"/>
  <c r="F33" i="8" s="1"/>
  <c r="B3" i="4"/>
  <c r="F3" i="8" s="1"/>
  <c r="A3" i="4"/>
  <c r="B1" i="4"/>
  <c r="A30" i="3"/>
  <c r="B27" i="3"/>
  <c r="E26" i="8" s="1"/>
  <c r="A27" i="3"/>
  <c r="B25" i="3"/>
  <c r="A25" i="3"/>
  <c r="B23" i="3"/>
  <c r="E23" i="8" s="1"/>
  <c r="A23" i="3"/>
  <c r="B22" i="3"/>
  <c r="E22" i="8" s="1"/>
  <c r="A22" i="3"/>
  <c r="A24" i="3"/>
  <c r="B21" i="3"/>
  <c r="E21" i="8" s="1"/>
  <c r="A21" i="3"/>
  <c r="B18" i="3"/>
  <c r="E18" i="8" s="1"/>
  <c r="A18" i="3"/>
  <c r="B17" i="3"/>
  <c r="E17" i="8" s="1"/>
  <c r="A17" i="3"/>
  <c r="B16" i="3"/>
  <c r="E16" i="8" s="1"/>
  <c r="K14" i="9" s="1"/>
  <c r="A16" i="3"/>
  <c r="B14" i="3"/>
  <c r="E14" i="8" s="1"/>
  <c r="A14" i="3"/>
  <c r="B13" i="3"/>
  <c r="E13" i="8" s="1"/>
  <c r="A13" i="3"/>
  <c r="B12" i="3"/>
  <c r="A12" i="3"/>
  <c r="E11" i="8"/>
  <c r="A11" i="3"/>
  <c r="B10" i="3"/>
  <c r="E10" i="8" s="1"/>
  <c r="A10" i="3"/>
  <c r="A9" i="3"/>
  <c r="B8" i="3"/>
  <c r="E8" i="8" s="1"/>
  <c r="K15" i="9" s="1"/>
  <c r="A8" i="3"/>
  <c r="B7" i="3"/>
  <c r="E7" i="8" s="1"/>
  <c r="E47" i="8" s="1"/>
  <c r="A7" i="3"/>
  <c r="B5" i="3"/>
  <c r="E5" i="8" s="1"/>
  <c r="A5" i="3"/>
  <c r="B4" i="3"/>
  <c r="E4" i="8" s="1"/>
  <c r="E33" i="8" s="1"/>
  <c r="B3" i="3"/>
  <c r="E3" i="8" s="1"/>
  <c r="A3" i="3"/>
  <c r="A30" i="2"/>
  <c r="B27" i="2"/>
  <c r="D26" i="8" s="1"/>
  <c r="A27" i="2"/>
  <c r="B25" i="2"/>
  <c r="A25" i="2"/>
  <c r="B23" i="2"/>
  <c r="D23" i="8" s="1"/>
  <c r="A23" i="2"/>
  <c r="B22" i="2"/>
  <c r="D22" i="8" s="1"/>
  <c r="A22" i="2"/>
  <c r="A24" i="2"/>
  <c r="B21" i="2"/>
  <c r="D21" i="8" s="1"/>
  <c r="A21" i="2"/>
  <c r="B18" i="2"/>
  <c r="D18" i="8" s="1"/>
  <c r="A18" i="2"/>
  <c r="B17" i="2"/>
  <c r="D17" i="8" s="1"/>
  <c r="A17" i="2"/>
  <c r="B16" i="2"/>
  <c r="D16" i="8" s="1"/>
  <c r="J14" i="9" s="1"/>
  <c r="A16" i="2"/>
  <c r="B14" i="2"/>
  <c r="D14" i="8" s="1"/>
  <c r="A14" i="2"/>
  <c r="B13" i="2"/>
  <c r="D13" i="8" s="1"/>
  <c r="A13" i="2"/>
  <c r="B12" i="2"/>
  <c r="D12" i="8" s="1"/>
  <c r="D38" i="8" s="1"/>
  <c r="A12" i="2"/>
  <c r="B11" i="2"/>
  <c r="D11" i="8" s="1"/>
  <c r="A11" i="2"/>
  <c r="B10" i="2"/>
  <c r="D10" i="8" s="1"/>
  <c r="A10" i="2"/>
  <c r="A9" i="2"/>
  <c r="B8" i="2"/>
  <c r="D8" i="8" s="1"/>
  <c r="J15" i="9" s="1"/>
  <c r="A8" i="2"/>
  <c r="B7" i="2"/>
  <c r="D7" i="8" s="1"/>
  <c r="D47" i="8" s="1"/>
  <c r="A7" i="2"/>
  <c r="B5" i="2"/>
  <c r="D5" i="8" s="1"/>
  <c r="A5" i="2"/>
  <c r="B4" i="2"/>
  <c r="D4" i="8" s="1"/>
  <c r="D33" i="8" s="1"/>
  <c r="B3" i="2"/>
  <c r="D3" i="8" s="1"/>
  <c r="A3" i="2"/>
  <c r="B1" i="2"/>
  <c r="B24" i="6"/>
  <c r="H24" i="8" s="1"/>
  <c r="B9" i="6"/>
  <c r="H9" i="8" s="1"/>
  <c r="H36" i="8" s="1"/>
  <c r="H40" i="8" s="1"/>
  <c r="H43" i="8" s="1"/>
  <c r="H46" i="8" s="1"/>
  <c r="H49" i="8" s="1"/>
  <c r="B24" i="5"/>
  <c r="G24" i="8" s="1"/>
  <c r="B9" i="5"/>
  <c r="G9" i="8" s="1"/>
  <c r="G36" i="8" s="1"/>
  <c r="G40" i="8" s="1"/>
  <c r="G43" i="8" s="1"/>
  <c r="G46" i="8" s="1"/>
  <c r="G49" i="8" s="1"/>
  <c r="B24" i="4"/>
  <c r="F24" i="8" s="1"/>
  <c r="B9" i="4"/>
  <c r="F9" i="8" s="1"/>
  <c r="F36" i="8" s="1"/>
  <c r="F40" i="8" s="1"/>
  <c r="F43" i="8" s="1"/>
  <c r="F46" i="8" s="1"/>
  <c r="F49" i="8" s="1"/>
  <c r="B24" i="3"/>
  <c r="E24" i="8" s="1"/>
  <c r="B9" i="3"/>
  <c r="E9" i="8" s="1"/>
  <c r="E36" i="8" s="1"/>
  <c r="E40" i="8" s="1"/>
  <c r="E43" i="8" s="1"/>
  <c r="E46" i="8" s="1"/>
  <c r="E49" i="8" s="1"/>
  <c r="B24" i="2"/>
  <c r="D24" i="8" s="1"/>
  <c r="B9" i="2"/>
  <c r="D9" i="8" s="1"/>
  <c r="D36" i="8" s="1"/>
  <c r="AF3" i="1"/>
  <c r="C24" i="8"/>
  <c r="C58" i="8" s="1"/>
  <c r="C5" i="8"/>
  <c r="G67" i="8" l="1"/>
  <c r="E67" i="8"/>
  <c r="C67" i="8"/>
  <c r="D67" i="8"/>
  <c r="F67" i="8"/>
  <c r="L16" i="9"/>
  <c r="J16" i="9"/>
  <c r="K16" i="9"/>
  <c r="D45" i="18"/>
  <c r="D58" i="18" s="1"/>
  <c r="E12" i="8"/>
  <c r="E38" i="8" s="1"/>
  <c r="D35" i="8"/>
  <c r="E5" i="9" s="1"/>
  <c r="J5" i="9"/>
  <c r="J6" i="9" s="1"/>
  <c r="F34" i="8"/>
  <c r="L7" i="9"/>
  <c r="G35" i="8"/>
  <c r="E9" i="9" s="1"/>
  <c r="M5" i="9"/>
  <c r="M6" i="9" s="1"/>
  <c r="E35" i="8"/>
  <c r="E10" i="9" s="1"/>
  <c r="K5" i="9"/>
  <c r="K6" i="9" s="1"/>
  <c r="H34" i="8"/>
  <c r="D34" i="8"/>
  <c r="J7" i="9"/>
  <c r="G34" i="8"/>
  <c r="M7" i="9"/>
  <c r="H35" i="8"/>
  <c r="E8" i="9" s="1"/>
  <c r="F8" i="9" s="1"/>
  <c r="E34" i="8"/>
  <c r="K7" i="9"/>
  <c r="F35" i="8"/>
  <c r="E7" i="9" s="1"/>
  <c r="L5" i="9"/>
  <c r="L6" i="9" s="1"/>
  <c r="G63" i="8"/>
  <c r="F8" i="17"/>
  <c r="F5" i="17"/>
  <c r="F6" i="17"/>
  <c r="F9" i="17"/>
  <c r="F13" i="19"/>
  <c r="F14" i="19" s="1"/>
  <c r="I79" i="18" s="1"/>
  <c r="K79" i="18" s="1"/>
  <c r="H63" i="8"/>
  <c r="F63" i="8"/>
  <c r="E63" i="8"/>
  <c r="E32" i="8"/>
  <c r="H32" i="8"/>
  <c r="D32" i="8"/>
  <c r="G32" i="8"/>
  <c r="D40" i="8"/>
  <c r="D43" i="8" s="1"/>
  <c r="D46" i="8" s="1"/>
  <c r="D49" i="8" s="1"/>
  <c r="D63" i="8" s="1"/>
  <c r="F32" i="8"/>
  <c r="C32" i="8"/>
  <c r="C35" i="8"/>
  <c r="B4" i="9" s="1"/>
  <c r="G6" i="17" l="1"/>
  <c r="G5" i="17"/>
  <c r="G8" i="17"/>
  <c r="G68" i="8"/>
  <c r="D68" i="8"/>
  <c r="E68" i="8"/>
  <c r="C68" i="8"/>
  <c r="F68" i="8"/>
  <c r="C63" i="18"/>
  <c r="E63" i="18"/>
  <c r="G63" i="18"/>
  <c r="D63" i="18"/>
  <c r="F63" i="18"/>
  <c r="K8" i="9"/>
  <c r="L8" i="9"/>
  <c r="M8" i="9"/>
  <c r="J8" i="9"/>
  <c r="E6" i="9"/>
  <c r="F10" i="9" l="1"/>
  <c r="G10" i="9" s="1"/>
  <c r="F5" i="9"/>
  <c r="G8" i="9" s="1"/>
  <c r="F7" i="9"/>
  <c r="G7" i="9" s="1"/>
  <c r="F9" i="9"/>
  <c r="G9"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<x:sst xmlns:x="http://schemas.openxmlformats.org/spreadsheetml/2006/main" count="643" uniqueCount="363">
  <x:si>
    <x:t>Sale</x:t>
  </x:si>
  <x:si>
    <x:t>Address</x:t>
  </x:si>
  <x:si>
    <x:t>City</x:t>
  </x:si>
  <x:si>
    <x:t>Parcel No.(s)</x:t>
  </x:si>
  <x:si>
    <x:t>Date of Sale</x:t>
  </x:si>
  <x:si>
    <x:t>Sale Price</x:t>
  </x:si>
  <x:si>
    <x:t>Price/SF</x:t>
  </x:si>
  <x:si>
    <x:t>Grantor</x:t>
  </x:si>
  <x:si>
    <x:t>Grantee</x:t>
  </x:si>
  <x:si>
    <x:t>Property Rights</x:t>
  </x:si>
  <x:si>
    <x:t>Occupancy ATOS</x:t>
  </x:si>
  <x:si>
    <x:t>Verification</x:t>
  </x:si>
  <x:si>
    <x:t>Gross Building Area (SF)</x:t>
  </x:si>
  <x:si>
    <x:t>Year Built</x:t>
  </x:si>
  <x:si>
    <x:t>Site Size (SF)</x:t>
  </x:si>
  <x:si>
    <x:t>Quality</x:t>
  </x:si>
  <x:si>
    <x:t>Parking Spaces</x:t>
  </x:si>
  <x:si>
    <x:t>Parking Ratio</x:t>
  </x:si>
  <x:si>
    <x:t>Effective Age/Condition</x:t>
  </x:si>
  <x:si>
    <x:t>Building Use</x:t>
  </x:si>
  <x:si>
    <x:t>Other</x:t>
  </x:si>
  <x:si>
    <x:t>Zoning</x:t>
  </x:si>
  <x:si>
    <x:t>Comments</x:t>
  </x:si>
  <x:si>
    <x:t>Notes</x:t>
  </x:si>
  <x:si>
    <x:t>FAR</x:t>
  </x:si>
  <x:si>
    <x:t>Price/Lot</x:t>
  </x:si>
  <x:si>
    <x:t>Subject</x:t>
  </x:si>
  <x:si>
    <x:t>Good</x:t>
  </x:si>
  <x:si>
    <x:t>None</x:t>
  </x:si>
  <x:si>
    <x:t>Listing Broker</x:t>
  </x:si>
  <x:si>
    <x:t>Average</x:t>
  </x:si>
  <x:si>
    <x:t>Comparable Sale 1</x:t>
  </x:si>
  <x:si>
    <x:t>Location Details</x:t>
  </x:si>
  <x:si>
    <x:t>Transaction Data</x:t>
  </x:si>
  <x:si>
    <x:t>Physical Attributes</x:t>
  </x:si>
  <x:si>
    <x:t>Comparable Sale 2</x:t>
  </x:si>
  <x:si>
    <x:t>Comparable Sale 3</x:t>
  </x:si>
  <x:si>
    <x:t>Comparable Sale 4</x:t>
  </x:si>
  <x:si>
    <x:t>Comparable Sale 5</x:t>
  </x:si>
  <x:si>
    <x:t>A</x:t>
  </x:si>
  <x:si>
    <x:t>Sale 1</x:t>
  </x:si>
  <x:si>
    <x:t>Sale 2</x:t>
  </x:si>
  <x:si>
    <x:t>Sale 3</x:t>
  </x:si>
  <x:si>
    <x:t>Sale 4</x:t>
  </x:si>
  <x:si>
    <x:t>Sale 5</x:t>
  </x:si>
  <x:si>
    <x:t>Transactional Adjustments</x:t>
  </x:si>
  <x:si>
    <x:t>Adjustment</x:t>
  </x:si>
  <x:si>
    <x:t>Adjusted Sale Price/SF</x:t>
  </x:si>
  <x:si>
    <x:t>Cash Equivalency</x:t>
  </x:si>
  <x:si>
    <x:t>Assumed Market</x:t>
  </x:si>
  <x:si>
    <x:t>Conditions of Sale</x:t>
  </x:si>
  <x:si>
    <x:t>Market Conditions</x:t>
  </x:si>
  <x:si>
    <x:t>Property Adjustments</x:t>
  </x:si>
  <x:si>
    <x:t>Location</x:t>
  </x:si>
  <x:si>
    <x:t>Net Adjustment</x:t>
  </x:si>
  <x:si>
    <x:t>Minimum</x:t>
  </x:si>
  <x:si>
    <x:t>Maximum</x:t>
  </x:si>
  <x:si>
    <x:t>Mean</x:t>
  </x:si>
  <x:si>
    <x:t>Median</x:t>
  </x:si>
  <x:si>
    <x:t>Std Dev</x:t>
  </x:si>
  <x:si>
    <x:t>Unadjusted Sales Price/SF</x:t>
  </x:si>
  <x:si>
    <x:t>Adjusted Sales Price/SF</x:t>
  </x:si>
  <x:si>
    <x:t>Row Height: 17</x:t>
  </x:si>
  <x:si>
    <x:t>Difference (SF)</x:t>
  </x:si>
  <x:si>
    <x:t>Applied Adjustment</x:t>
  </x:si>
  <x:si>
    <x:t>-</x:t>
  </x:si>
  <x:si>
    <x:t>Farm List</x:t>
  </x:si>
  <x:si>
    <x:t>Market Value “As-Is”</x:t>
  </x:si>
  <x:si>
    <x:t>Sales Comparison Approach</x:t>
  </x:si>
  <x:si>
    <x:t>Unit Value</x:t>
  </x:si>
  <x:si>
    <x:t>Indicated Value</x:t>
  </x:si>
  <x:si>
    <x:t>Rounded:</x:t>
  </x:si>
  <x:si>
    <x:t>Base</x:t>
  </x:si>
  <x:si>
    <x:t>Typical</x:t>
  </x:si>
  <x:si>
    <x:t>Direct</x:t>
  </x:si>
  <x:si>
    <x:t>Rentable Building Area (SF)</x:t>
  </x:si>
  <x:si>
    <x:t>Expense Structure</x:t>
  </x:si>
  <x:si>
    <x:t>Property Rights Conveyed</x:t>
  </x:si>
  <x:si>
    <x:t>Lease Rate (S/SF/Yr)</x:t>
  </x:si>
  <x:si>
    <x:t>Lease Term</x:t>
  </x:si>
  <x:si>
    <x:t>Lease Date</x:t>
  </x:si>
  <x:si>
    <x:t>Lease Type</x:t>
  </x:si>
  <x:si>
    <x:t>Tenant</x:t>
  </x:si>
  <x:si>
    <x:t>Comparable Rental 1</x:t>
  </x:si>
  <x:si>
    <x:t>Comparable Rental 2</x:t>
  </x:si>
  <x:si>
    <x:t>Comparable Rental 3</x:t>
  </x:si>
  <x:si>
    <x:t>Comparable Rental 4</x:t>
  </x:si>
  <x:si>
    <x:t>Rental 2</x:t>
  </x:si>
  <x:si>
    <x:t>Rental 1</x:t>
  </x:si>
  <x:si>
    <x:t>Rental 4</x:t>
  </x:si>
  <x:si>
    <x:t>Rental 3</x:t>
  </x:si>
  <x:si>
    <x:t>Capitalization Rate</x:t>
  </x:si>
  <x:si>
    <x:t>Net Operating Income</x:t>
  </x:si>
  <x:si>
    <x:t>Income Capitalization Approach</x:t>
  </x:si>
  <x:si>
    <x:t>Market Value “’As-Is”</x:t>
  </x:si>
  <x:si>
    <x:t>Conclusion</x:t>
  </x:si>
  <x:si>
    <x:t>Debt Coverage Ratio Technique</x:t>
  </x:si>
  <x:si>
    <x:t>Mortgage-Equity Technique</x:t>
  </x:si>
  <x:si>
    <x:t>Realty Rates Investor Survey*</x:t>
  </x:si>
  <x:si>
    <x:t>Range</x:t>
  </x:si>
  <x:si>
    <x:t>Capitalization Rate Conclusion</x:t>
  </x:si>
  <x:si>
    <x:t>Adjusted Rent Per SF</x:t>
  </x:si>
  <x:si>
    <x:t>Unadjusted Rent Per SF</x:t>
  </x:si>
  <x:si>
    <x:t>Annual Rent</x:t>
  </x:si>
  <x:si>
    <x:t xml:space="preserve">Market Rent </x:t>
  </x:si>
  <x:si>
    <x:t>Building Size (SF)</x:t>
  </x:si>
  <x:si>
    <x:t>Conditions of Lease</x:t>
  </x:si>
  <x:si>
    <x:t>Lease Structure</x:t>
  </x:si>
  <x:si>
    <x:t>Adjusted Rent/SF/Yr</x:t>
  </x:si>
  <x:si>
    <x:t>Adjusted Rate</x:t>
  </x:si>
  <x:si>
    <x:t>Adjustment Factor</x:t>
  </x:si>
  <x:si>
    <x:t>Times SFF</x:t>
  </x:si>
  <x:si>
    <x:t>Appreciation/Depreciation</x:t>
  </x:si>
  <x:si>
    <x:t>Adjustment for Change in Value</x:t>
  </x:si>
  <x:si>
    <x:t>SFF</x:t>
  </x:si>
  <x:si>
    <x:t>debt reduction</x:t>
  </x:si>
  <x:si>
    <x:t>=</x:t>
  </x:si>
  <x:si>
    <x:t>X</x:t>
  </x:si>
  <x:si>
    <x:t>Debt Reduction</x:t>
  </x:si>
  <x:si>
    <x:t>Total Expenses</x:t>
  </x:si>
  <x:si>
    <x:t>Equity Requirement</x:t>
  </x:si>
  <x:si>
    <x:t>Reserves</x:t>
  </x:si>
  <x:si>
    <x:t>Mortgage Requirement</x:t>
  </x:si>
  <x:si>
    <x:t>Property Management</x:t>
  </x:si>
  <x:si>
    <x:t>Mortgage-Equity Capitalization Rate</x:t>
  </x:si>
  <x:si>
    <x:t>Expenses</x:t>
  </x:si>
  <x:si>
    <x:t>Effective Gross Income</x:t>
  </x:si>
  <x:si>
    <x:t>Years</x:t>
  </x:si>
  <x:si>
    <x:t>Holding Period</x:t>
  </x:si>
  <x:si>
    <x:t>Vacancy and Collection Loss</x:t>
  </x:si>
  <x:si>
    <x:t>Equity Dividend Rate</x:t>
  </x:si>
  <x:si>
    <x:t>Potential Gross Income</x:t>
  </x:si>
  <x:si>
    <x:t>Indicated Capitalization Rate</x:t>
  </x:si>
  <x:si>
    <x:t>Mortgage Constant</x:t>
  </x:si>
  <x:si>
    <x:t>Reimbursements</x:t>
  </x:si>
  <x:si>
    <x:t>Mortgage Ratio (Loan-to-Value)</x:t>
  </x:si>
  <x:si>
    <x:t>Other Income</x:t>
  </x:si>
  <x:si>
    <x:t>Amortization Period</x:t>
  </x:si>
  <x:si>
    <x:t>Base Rent</x:t>
  </x:si>
  <x:si>
    <x:t>Debt Coverage Ratio</x:t>
  </x:si>
  <x:si>
    <x:t>Mortgage Ratio</x:t>
  </x:si>
  <x:si>
    <x:t>Mortgage Interest Rate</x:t>
  </x:si>
  <x:si>
    <x:t>Revenue</x:t>
  </x:si>
  <x:si>
    <x:t>Band of Investment Assumptions</x:t>
  </x:si>
  <x:si>
    <x:t>Income Pro Forma </x:t>
  </x:si>
  <x:si>
    <x:t>Site Utility</x:t>
  </x:si>
  <x:si>
    <x:t>Total Cost</x:t>
  </x:si>
  <x:si>
    <x:t>Unit Cost</x:t>
  </x:si>
  <x:si>
    <x:t>Units</x:t>
  </x:si>
  <x:si>
    <x:t>Heating &amp; Cooling</x:t>
  </x:si>
  <x:si>
    <x:t>Exterior Walls</x:t>
  </x:si>
  <x:si>
    <x:t>Base Cost</x:t>
  </x:si>
  <x:si>
    <x:t>Economic Life</x:t>
  </x:si>
  <x:si>
    <x:t>Effective Age</x:t>
  </x:si>
  <x:si>
    <x:t>Cap Rate</x:t>
  </x:si>
  <x:si>
    <x:t xml:space="preserve">    NOI</x:t>
  </x:si>
  <x:si>
    <x:t>Size - SF</x:t>
  </x:si>
  <x:si>
    <x:t>Sale Date</x:t>
  </x:si>
  <x:si>
    <x:t>Property Address</x:t>
  </x:si>
  <x:si>
    <x:t>Indicated Replacement Cost</x:t>
  </x:si>
  <x:si>
    <x:t xml:space="preserve">   Insurance Exclusions</x:t>
  </x:si>
  <x:si>
    <x:t>Total Base Cost</x:t>
  </x:si>
  <x:si>
    <x:t>Quality/Class</x:t>
  </x:si>
  <x:si>
    <x:t>Occupancy</x:t>
  </x:si>
  <x:si>
    <x:t>Replacement Cost Calculations</x:t>
  </x:si>
  <x:si>
    <x:t>Total Property Taxes</x:t>
  </x:si>
  <x:si>
    <x:t>Assessed Value</x:t>
  </x:si>
  <x:si>
    <x:t>Tax Year</x:t>
  </x:si>
  <x:si>
    <x:t>Parcel No(s).</x:t>
  </x:si>
  <x:si>
    <x:t xml:space="preserve">    Times Millage Rate</x:t>
  </x:si>
  <x:si>
    <x:t>Total Tax-Appraised Value</x:t>
  </x:si>
  <x:si>
    <x:t xml:space="preserve">    Improvement Value</x:t>
  </x:si>
  <x:si>
    <x:t xml:space="preserve">    Land Value</x:t>
  </x:si>
  <x:si>
    <x:t>Tax-Appraised Value:</x:t>
  </x:si>
  <x:si>
    <x:t>Market Value Conclusion</x:t>
  </x:si>
  <x:si>
    <x:t>ONE DOLLAR</x:t>
  </x:si>
  <x:si>
    <x:t>Effective Date of Value</x:t>
  </x:si>
  <x:si>
    <x:t>Market Value “As Is”</x:t>
  </x:si>
  <x:si>
    <x:t>Total Costs</x:t>
  </x:si>
  <x:si>
    <x:t>Total Leasing Costs:</x:t>
  </x:si>
  <x:si>
    <x:t xml:space="preserve">  Leasing Commissions   $45.00 psf x 1,005 sf x 6% x 5 years</x:t>
  </x:si>
  <x:si>
    <x:t xml:space="preserve">  Tenant Improvement Allowance   $0.00 psf</x:t>
  </x:si>
  <x:si>
    <x:t xml:space="preserve">  Rent Loss   $45,225 x 0.25</x:t>
  </x:si>
  <x:si>
    <x:t>Lease-Up Costs:</x:t>
  </x:si>
  <x:si>
    <x:t>Stabilization/Lease-Up Costs</x:t>
  </x:si>
  <x:si>
    <x:t>Total Project Costs</x:t>
  </x:si>
  <x:si>
    <x:t>Project Costs</x:t>
  </x:si>
  <x:si>
    <x:t>Development Schedule</x:t>
  </x:si>
  <x:si>
    <x:t xml:space="preserve">TVAS File No. </x:t>
  </x:si>
  <x:si>
    <x:t>Parcel No(s)</x:t>
  </x:si>
  <x:si>
    <x:t>Current Owner(s)</x:t>
  </x:si>
  <x:si>
    <x:t>Previous Market Sale</x:t>
  </x:si>
  <x:si>
    <x:t>Previous Sale Price</x:t>
  </x:si>
  <x:si>
    <x:t>Property Status</x:t>
  </x:si>
  <x:si>
    <x:t>Total Land Area</x:t>
  </x:si>
  <x:si>
    <x:t>Site Shape</x:t>
  </x:si>
  <x:si>
    <x:t>Topography</x:t>
  </x:si>
  <x:si>
    <x:t>Current Zoning</x:t>
  </x:si>
  <x:si>
    <x:t>Utilities</x:t>
  </x:si>
  <x:si>
    <x:t>Remaining Economic Life</x:t>
  </x:si>
  <x:si>
    <x:t>Exposure Time</x:t>
  </x:si>
  <x:si>
    <x:t>Marketing Time</x:t>
  </x:si>
  <x:si>
    <x:t>Effective Date</x:t>
  </x:si>
  <x:si>
    <x:t>All Available</x:t>
  </x:si>
  <x:si>
    <x:t>6 - 9 months</x:t>
  </x:si>
  <x:si>
    <x:t>County</x:t>
  </x:si>
  <x:si>
    <x:t>Zoning Jursdiction</x:t>
  </x:si>
  <x:si>
    <x:t>Year(s) Built</x:t>
  </x:si>
  <x:si>
    <x:t>No. of Stories</x:t>
  </x:si>
  <x:si>
    <x:t>One</x:t>
  </x:si>
  <x:si>
    <x:t>Construction Class</x:t>
  </x:si>
  <x:si>
    <x:t>Construction Quality</x:t>
  </x:si>
  <x:si>
    <x:t xml:space="preserve">Coverage Ratio </x:t>
  </x:si>
  <x:si>
    <x:t>Parking Type</x:t>
  </x:si>
  <x:si>
    <x:t>Surface</x:t>
  </x:si>
  <x:si>
    <x:t>Actual Age</x:t>
  </x:si>
  <x:si>
    <x:t xml:space="preserve">Other </x:t>
  </x:si>
  <x:si>
    <x:t>City, State</x:t>
  </x:si>
  <x:si>
    <x:t>PSF</x:t>
  </x:si>
  <x:si>
    <x:t>Prospective:</x:t>
  </x:si>
  <x:si>
    <x:t>"As-Is"</x:t>
  </x:si>
  <x:si>
    <x:t>Zip Code</x:t>
  </x:si>
  <x:si>
    <x:t>Class S, Structural Steel-Frame</x:t>
  </x:si>
  <x:si>
    <x:t>Mezzanine (SF)</x:t>
  </x:si>
  <x:si>
    <x:t>Finished Ratio</x:t>
  </x:si>
  <x:si>
    <x:t>Fee Simple</x:t>
  </x:si>
  <x:si>
    <x:t>Office (SF)</x:t>
  </x:si>
  <x:si>
    <x:t>Office Ratio</x:t>
  </x:si>
  <x:si>
    <x:t>Coverage Ratio</x:t>
  </x:si>
  <x:si>
    <x:t>Eave Height</x:t>
  </x:si>
  <x:si>
    <x:t>Loading</x:t>
  </x:si>
  <x:si>
    <x:t>1 GL/4 DH</x:t>
  </x:si>
  <x:si>
    <x:t>Loading SF</x:t>
  </x:si>
  <x:si>
    <x:t>3 GL/1 DH</x:t>
  </x:si>
  <x:si>
    <x:t>Vacant</x:t>
  </x:si>
  <x:si>
    <x:t>Comparable Sale</x:t>
  </x:si>
  <x:si>
    <x:t>Office Differential (SF)*</x:t>
  </x:si>
  <x:si>
    <x:t>Implied Adjustment</x:t>
  </x:si>
  <x:si>
    <x:t>Height Differential (Feet)</x:t>
  </x:si>
  <x:si>
    <x:t>NNN</x:t>
  </x:si>
  <x:si>
    <x:t>Industrial</x:t>
  </x:si>
  <x:si>
    <x:t>Gainesville, GA</x:t>
  </x:si>
  <x:si>
    <x:t>Irregular</x:t>
  </x:si>
  <x:si>
    <x:t>Leased Fee</x:t>
  </x:si>
  <x:si>
    <x:t xml:space="preserve">   Accessory Value</x:t>
  </x:si>
  <x:si>
    <x:t>Suwanee, GA</x:t>
  </x:si>
  <x:si>
    <x:t>1420 Calvary Church Rd</x:t>
  </x:si>
  <x:si>
    <x:t>122 Ethan Allen Dr</x:t>
  </x:si>
  <x:si>
    <x:t>Dahlonega, GA</x:t>
  </x:si>
  <x:si>
    <x:t>4701 Granite Dr</x:t>
  </x:si>
  <x:si>
    <x:t>Tucker, GA</x:t>
  </x:si>
  <x:si>
    <x:t>Marietta, GA</x:t>
  </x:si>
  <x:si>
    <x:t>1205 Hayes Industrial Dr</x:t>
  </x:si>
  <x:si>
    <x:t>2171 Kingston Ct</x:t>
  </x:si>
  <x:si>
    <x:t>162 E Midland Ave</x:t>
  </x:si>
  <x:si>
    <x:t>Winder, GA</x:t>
  </x:si>
  <x:si>
    <x:t>850 Mountain Industrial Dr</x:t>
  </x:si>
  <x:si>
    <x:t>3630 Swiftwater Park Dr</x:t>
  </x:si>
  <x:si>
    <x:t>4.3% - 12.8%</x:t>
  </x:si>
  <x:si>
    <x:r>
      <x:t>CoStar Pricing Trend -</x:t>
    </x:r>
    <x:r>
      <x:rPr>
        <x:i/>
        <x:sz val="11"/>
        <x:color theme="1"/>
        <x:rFont val="Calibri"/>
        <x:family val="2"/>
        <x:scheme val="minor"/>
      </x:rPr>
      <x:t>YTD 2Q22</x:t>
    </x:r>
  </x:si>
  <x:si>
    <x:t>Contributory Value @ $0.71/LF x Bldg. SF</x:t>
  </x:si>
  <x:si>
    <x:t>Up to one year</x:t>
  </x:si>
  <x:si>
    <x:t>4735 Dwight Evans Rd</x:t>
  </x:si>
  <x:si>
    <x:t>Charlotte, NC</x:t>
  </x:si>
  <x:si>
    <x:t>145-301-22</x:t>
  </x:si>
  <x:si>
    <x:t>Mecklenburg</x:t>
  </x:si>
  <x:si>
    <x:t>Investicore Prop Co 9, LLC</x:t>
  </x:si>
  <x:si>
    <x:t>Previous Owner</x:t>
  </x:si>
  <x:si>
    <x:t>Park Avenue Partners, LLC</x:t>
  </x:si>
  <x:si>
    <x:t>Pending Sale</x:t>
  </x:si>
  <x:si>
    <x:t>0 GL/3 DH</x:t>
  </x:si>
  <x:si>
    <x:t>Ceiling Height</x:t>
  </x:si>
  <x:si>
    <x:t>Finished Office Area</x:t>
  </x:si>
  <x:si>
    <x:t>General Purpose Warehouse</x:t>
  </x:si>
  <x:si>
    <x:t>Bulk Warehouse</x:t>
  </x:si>
  <x:si>
    <x:t>Property Type(s)</x:t>
  </x:si>
  <x:si>
    <x:t>Property Subtypes(s)</x:t>
  </x:si>
  <x:si>
    <x:t>Column Spacing</x:t>
  </x:si>
  <x:si>
    <x:t>45' x 20'</x:t>
  </x:si>
  <x:si>
    <x:t>Previous Debt</x:t>
  </x:si>
  <x:si>
    <x:t>Lender</x:t>
  </x:si>
  <x:si>
    <x:t>Stormfield Cap Funding I, LLC</x:t>
  </x:si>
  <x:si>
    <x:t>Access</x:t>
  </x:si>
  <x:si>
    <x:t>Exposure</x:t>
  </x:si>
  <x:si>
    <x:t>10725 John Price Rd</x:t>
  </x:si>
  <x:si>
    <x:t>201-181-27</x:t>
  </x:si>
  <x:si>
    <x:t>1508 Industrial Dr</x:t>
  </x:si>
  <x:si>
    <x:t>Matthews, NC</x:t>
  </x:si>
  <x:si>
    <x:t>193-211-07</x:t>
  </x:si>
  <x:si>
    <x:t>138 Cedar Pointe Dr</x:t>
  </x:si>
  <x:si>
    <x:t>Mooresville, NC</x:t>
  </x:si>
  <x:si>
    <x:t>4648-90-4665.000</x:t>
  </x:si>
  <x:si>
    <x:t>D&amp;G Realty, LLC</x:t>
  </x:si>
  <x:si>
    <x:t>138 Cedar Pointe, LLC</x:t>
  </x:si>
  <x:si>
    <x:t>Industrial Flex</x:t>
  </x:si>
  <x:si>
    <x:t xml:space="preserve">The sale of an industrial flex building located on the east side of Cedar Pointe Drive just east of Interstate 77 within the city limits of Mooresville in Iredell County, North Carolina. The property is currently owner-occupied dba Tiger Precision Products. This is believed to be an all-cash sale. </x:t>
  </x:si>
  <x:si>
    <x:t>227 Old Hebron St</x:t>
  </x:si>
  <x:si>
    <x:t>205-171-24</x:t>
  </x:si>
  <x:si>
    <x:t>OHR Properties, LLC</x:t>
  </x:si>
  <x:si>
    <x:t>Hop Holdings, LLC</x:t>
  </x:si>
  <x:si>
    <x:t>Very Good</x:t>
  </x:si>
  <x:si>
    <x:t>1 GL/2 DH</x:t>
  </x:si>
  <x:si>
    <x:t>Ancillary Bldg.</x:t>
  </x:si>
  <x:si>
    <x:t xml:space="preserve">The sale of an industrial flex building located on the north side of Old Hebron Road within the city limits of Charlotte in Mecklenburg County, North Carolina. The site slopes downward from the road frontage which provides for terrace-level, climate-controlled storage below the office portion of the building. The property is also improved with a 2,294-sf ancillary industrial building with two grade-level doors. West Town Bank &amp; Trust financed the deal with a loan in the amount of $1,705,200. </x:t>
  </x:si>
  <x:si>
    <x:t>205 Raceway Dr</x:t>
  </x:si>
  <x:si>
    <x:t>4647-44-8341.000</x:t>
  </x:si>
  <x:si>
    <x:t>Zip Properties, Inc.</x:t>
  </x:si>
  <x:si>
    <x:t>HSUS Investments, LLC</x:t>
  </x:si>
  <x:si>
    <x:t>6 GL/0 DH</x:t>
  </x:si>
  <x:si>
    <x:t>HI</x:t>
  </x:si>
  <x:si>
    <x:t>The sale of a multi-tenant industrial flex building located on the northeast side of Raceway Drive just west of Interstate 77 within the city limits of Mooresville in Iredell County, North Carolina. At the time of sale, the building consisted of two tenant-occupied suites and a 9,000-sf vacant third suite. The vacant suite is currently marketed for lease with an asking rental rate of $7.00 psf on a triple-net basis. Horizon Bank financed the deal with a ten-year note in the amount of $1,100,000.</x:t>
  </x:si>
  <x:si>
    <x:t>635 Southwest St</x:t>
  </x:si>
  <x:si>
    <x:t>High Point, NC</x:t>
  </x:si>
  <x:si>
    <x:t>Confidence Containers, LLC</x:t>
  </x:si>
  <x:si>
    <x:t>Brock &amp; Connie Baird</x:t>
  </x:si>
  <x:si>
    <x:t>Average +</x:t>
  </x:si>
  <x:si>
    <x:t xml:space="preserve">The sale of an industrial warehouse building located on the east side of Southwest Street within the city limits of High Point in Guilford County, North Carolina. The property is currently offered for lease with an asking rental rate of $6.50 psf on a triple-net lease basis. This is believed to be an all-cash sale. </x:t>
  </x:si>
  <x:si>
    <x:t>1020 Forsyth Ave</x:t>
  </x:si>
  <x:si>
    <x:t>Indian Trail, NC</x:t>
  </x:si>
  <x:si>
    <x:t>07-081-303</x:t>
  </x:si>
  <x:si>
    <x:t>Pierson Enterprises, LLC</x:t>
  </x:si>
  <x:si>
    <x:t>Oakway Properties, LLC</x:t>
  </x:si>
  <x:si>
    <x:t>3 GL/2 DH</x:t>
  </x:si>
  <x:si>
    <x:t>The sale of a multi-tenant industrial flex building located in Old Hickory Business Park just northeast of East Independence Boulevard within the town limits of Indian Trail in Union County, North Carolina. At the time of sale, two of the three suites were tenant-occupied. South State Bank financed the deal with a seven-year note in the amount of $1,500,000.</x:t>
  </x:si>
  <x:si>
    <x:t>Match Properties, LLC</x:t>
  </x:si>
  <x:si>
    <x:t>I-2</x:t>
  </x:si>
  <x:si>
    <x:t>Heavy Industrial District</x:t>
  </x:si>
  <x:si>
    <x:t>Charlotte</x:t>
  </x:si>
  <x:si>
    <x:t>Total Condo GBA (SF)</x:t>
  </x:si>
  <x:si>
    <x:t>Gently Sloping</x:t>
  </x:si>
  <x:si>
    <x:t>Frontage</x:t>
  </x:si>
  <x:si>
    <x:t>Sand Fiddlers Partners, LLC</x:t>
  </x:si>
  <x:si>
    <x:t>MSE Center LLC</x:t>
  </x:si>
  <x:si>
    <x:t>1 GL/3 DH</x:t>
  </x:si>
  <x:si>
    <x:t xml:space="preserve">Industrial  </x:t>
  </x:si>
  <x:si>
    <x:t>The sale of a freestanding, multi-tenant industrial building located on the southeast side of John Price Road just north of South Tryon Street and about two miles southwest of the Interstate 485/South Tryon Street interchange within the city limits of Charlotte. The building was constructed in 1988 and features concrete block construction, wet sprinkler system and a clear height of 20'. The two-suite building was 50 percent occupied at the time of sale with the tenant leased through August 2026. The property was on the market for about nine months with an original asking price of $2,300,000. Truist Bank financed the deal with a loan in the amount of $1,955,000.</x:t>
  </x:si>
  <x:si>
    <x:t>Wilkat, LLC</x:t>
  </x:si>
  <x:si>
    <x:t>The sale of a freestanding industrial building located approximately one mile northwest of the intersection of U.S. Highway 74 and N.C. Highway 51 within the Town of Matthews in Mecklenburg County, North Carolina. The building was constructed in 1986 and features a structural-steel spanning system with a clear height of 18'. The property was on the market for about a month with an asking price of $1,875,000. The building is currently owner-occupied by a foundation repair company dba Cantey Foundation Specialists. First Palmetto Bank financed the deal with a loan in the amount of $1,800,000.</x:t>
  </x:si>
  <x:si>
    <x:t>3300 Oak Lake Blvd</x:t>
  </x:si>
  <x:si>
    <x:t>143-261-05</x:t>
  </x:si>
  <x:si>
    <x:t>Zoe Baby Products</x:t>
  </x:si>
  <x:si>
    <x:t>Contributory Value $15/SF</x:t>
  </x:si>
  <x:si>
    <x:t>201 Southside Dr</x:t>
  </x:si>
  <x:si>
    <x:t>647 Michael Wylie Dr</x:t>
  </x:si>
  <x:si>
    <x:t>149-031-05</x:t>
  </x:si>
  <x:si>
    <x:t>J&amp;B Construction</x:t>
  </x:si>
  <x:si>
    <x:t>0 GL/2 DH</x:t>
  </x:si>
  <x:si>
    <x:t>1 GL/1 DH</x:t>
  </x:si>
  <x:si>
    <x:t>This reflects the effective rent for space in a 16,492-square-foot, freestanding industrial building located just east of the Billy Graham Parkway/West Tyvola Road interchange with the city limits of Charlotte in Mecklenburg County, North Carolina. The building is fully-conditioned and has approximately 1,484 square feet of office space. The triple-net lease was executed turn-key with a starting rent of $7.89 per square foot per year having 3.0 percent yearly escalations.</x:t>
  </x:si>
  <x:si>
    <x:t>Confidential</x:t>
  </x:si>
  <x:si>
    <x:t>061-123-12</x:t>
  </x:si>
  <x:si>
    <x:t>2732 Interstate St, Ste F</x:t>
  </x:si>
  <x:si>
    <x:t>0 GL/1 DH</x:t>
  </x:si>
  <x:si>
    <x:t>Renner</x:t>
  </x:si>
  <x:si>
    <x:t>145-271-21</x:t>
  </x:si>
  <x:si>
    <x:t>2 GL/2 DH</x:t>
  </x:si>
  <x:si>
    <x:t xml:space="preserve">This reflects the effective rent for space in an 18,090-square-foot, freestanding just north of the Interstate 77/Billy Graham Parkway interchange within the city limits of Charlotte in Mecklenburg County, North Carolina. The building is demised into 1,980 square feet of office space and 16,110 square feet of warehouse space. The ten-year, triple-net lease was executed with a starting rent of $9.95 per square foot per year having yearly escalations of 3 percent with one month free rent and a reported tenant improvement allowance of $1.00 per square foot. </x:t>
  </x:si>
  <x:si>
    <x:t>This reflects the effective rent for space in a 13,700-square-foot, freestanding industrial building located just northeast of the Billy Graham Parkway/Interstate 77 interchange with the city limits of Charlotte in Mecklenburg County, North Carolina. The building is demised into 3,151 square feet of office space and 10,549 square feet of warehouse space with two dock-high doors. The triple-net lease was executed turn-key with a starting rent of $9.36 per square foot per year and no escalations.</x:t>
  </x:si>
  <x:si>
    <x:t>10-year term</x:t>
  </x:si>
  <x:si>
    <x:t>ONE MILLION NINE HUNDRED FIFTY THOUSAND DOLLARS</x:t>
  </x:si>
  <x:si>
    <x:t xml:space="preserve">This reflects the effective rent for space in a 26,040-square-foot, multi-tenant industrial building located in the Airport 85 Business Park just east of the Billy Graham Parkway/Interstate 85 interchange within the city limits of Charlotte in Mecklenburg County, North Carolina. The unit has approximately 1,200 square feet of office space and one dock-high door. The triple-net lease was executed turn-key with a starting rent of $9.75 per square foot per year and no escalations. The space was on the market for about 10 months with an asking rental rate of $10.00 per square foot.  </x:t>
  </x:si>
  <x:si>
    <x:t>Avg/C</x:t>
  </x:si>
  <x:si>
    <x:t>406 Storage Warehouse</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</x:si>
</x:sst>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409]mmm\-yy;@"/>
    <numFmt numFmtId="165" formatCode="&quot;$&quot;#,##0"/>
    <numFmt numFmtId="166" formatCode="&quot;$&quot;#,##0.00"/>
    <numFmt numFmtId="167" formatCode="0.000"/>
    <numFmt numFmtId="168" formatCode="0.00&quot;/1,000 SF&quot;"/>
    <numFmt numFmtId="169" formatCode="0\ &quot;years&quot;"/>
    <numFmt numFmtId="170" formatCode="0.0%"/>
    <numFmt numFmtId="171" formatCode="#,##0.000"/>
    <numFmt numFmtId="172" formatCode="0\ &quot;months&quot;"/>
    <numFmt numFmtId="173" formatCode="0.0000"/>
    <numFmt numFmtId="174" formatCode="0.00000"/>
    <numFmt numFmtId="175" formatCode="0.0000_);\(0.0000\)"/>
    <numFmt numFmtId="176" formatCode="\ \ \ \ &quot;Times &quot;0&quot;% Assessment&quot;"/>
    <numFmt numFmtId="177" formatCode="[$-409]mmmm\ d\,\ yyyy;@"/>
    <numFmt numFmtId="178" formatCode="&quot;  Leasing Commissions  &quot;0.00&quot; psf &quot;\x&quot; 0e18&quot;"/>
    <numFmt numFmtId="179" formatCode="0&quot;%&quot;"/>
    <numFmt numFmtId="180" formatCode="&quot;Entrepreneurial Incentive  &quot;0&quot;% of Costs&quot;"/>
    <numFmt numFmtId="181" formatCode="#,##0\ &quot;sf&quot;"/>
    <numFmt numFmtId="182" formatCode="&quot;$&quot;0.00\ &quot;psf&quot;"/>
    <numFmt numFmtId="183" formatCode="\ \ \ &quot;Add:  Contingencies @ &quot;0&quot;%&quot;"/>
    <numFmt numFmtId="184" formatCode="0.00\ &quot;Acres&quot;"/>
    <numFmt numFmtId="185" formatCode="00,000\ &quot;SF&quot;"/>
    <numFmt numFmtId="186" formatCode="00\ &quot;feet&quot;"/>
    <numFmt numFmtId="187" formatCode="_(* #,##0_);_(* \(#,##0\);_(* &quot;-&quot;??_);_(@_)"/>
    <numFmt numFmtId="188" formatCode="00.00\ &quot;feet&quot;"/>
  </numFmts>
  <fonts count="37"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i/>
      <sz val="9"/>
      <color rgb="FFC00000"/>
      <name val="Calibri"/>
      <family val="2"/>
      <scheme val="minor"/>
    </font>
    <font>
      <i/>
      <sz val="9"/>
      <color theme="4" tint="-0.249977111117893"/>
      <name val="Calibri"/>
      <family val="2"/>
      <scheme val="minor"/>
    </font>
    <font>
      <sz val="9"/>
      <color theme="1"/>
      <name val="Calibri"/>
      <family val="2"/>
      <scheme val="minor"/>
    </font>
    <font>
      <sz val="9"/>
      <name val="Calibri"/>
      <family val="2"/>
      <scheme val="minor"/>
    </font>
    <font>
      <sz val="9"/>
      <color theme="4" tint="-0.249977111117893"/>
      <name val="Calibri"/>
      <family val="2"/>
      <scheme val="minor"/>
    </font>
    <font>
      <sz val="10"/>
      <color theme="4" tint="-0.249977111117893"/>
      <name val="Calibri"/>
      <family val="2"/>
      <scheme val="minor"/>
    </font>
    <font>
      <sz val="10"/>
      <color theme="1"/>
      <name val="Calibri"/>
      <family val="2"/>
      <scheme val="minor"/>
    </font>
    <font>
      <sz val="10"/>
      <color rgb="FF000000"/>
      <name val="Calibri"/>
      <family val="2"/>
      <scheme val="minor"/>
    </font>
    <font>
      <sz val="9"/>
      <color rgb="FFFF0000"/>
      <name val="Calibri"/>
      <family val="2"/>
      <scheme val="minor"/>
    </font>
    <font>
      <b/>
      <sz val="9"/>
      <name val="Calibri"/>
      <family val="2"/>
      <scheme val="minor"/>
    </font>
    <font>
      <sz val="11"/>
      <name val="Calibri"/>
      <family val="2"/>
      <scheme val="minor"/>
    </font>
    <font>
      <sz val="11"/>
      <color theme="4" tint="-0.249977111117893"/>
      <name val="Calibri"/>
      <family val="2"/>
      <scheme val="minor"/>
    </font>
    <font>
      <i/>
      <sz val="11"/>
      <color theme="4" tint="-0.249977111117893"/>
      <name val="Calibri"/>
      <family val="2"/>
      <scheme val="minor"/>
    </font>
    <font>
      <i/>
      <sz val="11"/>
      <color theme="1"/>
      <name val="Calibri"/>
      <family val="2"/>
      <scheme val="minor"/>
    </font>
    <font>
      <i/>
      <sz val="11"/>
      <color rgb="FF000000"/>
      <name val="Calibri"/>
      <family val="2"/>
      <scheme val="minor"/>
    </font>
    <font>
      <b/>
      <sz val="11"/>
      <color rgb="FF000000"/>
      <name val="Calibri"/>
      <family val="2"/>
    </font>
    <font>
      <sz val="11"/>
      <color rgb="FF000000"/>
      <name val="Calibri"/>
      <family val="2"/>
    </font>
    <font>
      <i/>
      <sz val="9"/>
      <color rgb="FF305496"/>
      <name val="Calibri"/>
      <family val="2"/>
      <scheme val="minor"/>
    </font>
    <font>
      <b/>
      <sz val="11"/>
      <color theme="1"/>
      <name val="Calibri"/>
      <family val="2"/>
      <scheme val="minor"/>
    </font>
    <font>
      <sz val="10"/>
      <name val="Calibri"/>
      <family val="2"/>
      <scheme val="minor"/>
    </font>
    <font>
      <i/>
      <sz val="11"/>
      <color theme="4" tint="-0.499984740745262"/>
      <name val="Calibri"/>
      <family val="2"/>
      <scheme val="minor"/>
    </font>
    <font>
      <sz val="11"/>
      <color rgb="FF000000"/>
      <name val="Calibri"/>
      <family val="2"/>
      <scheme val="minor"/>
    </font>
    <font>
      <i/>
      <sz val="11"/>
      <name val="Calibri"/>
      <family val="2"/>
      <scheme val="minor"/>
    </font>
    <font>
      <b/>
      <i/>
      <sz val="11"/>
      <color rgb="FF000000"/>
      <name val="Calibri"/>
      <family val="2"/>
      <scheme val="minor"/>
    </font>
    <font>
      <b/>
      <sz val="12"/>
      <color theme="1"/>
      <name val="Times New Roman"/>
      <family val="1"/>
    </font>
    <font>
      <i/>
      <sz val="11"/>
      <color rgb="FFC00000"/>
      <name val="Calibri"/>
      <family val="2"/>
      <scheme val="minor"/>
    </font>
    <font>
      <b/>
      <sz val="9"/>
      <color theme="4" tint="-0.249977111117893"/>
      <name val="Calibri"/>
      <family val="2"/>
      <scheme val="minor"/>
    </font>
    <font>
      <i/>
      <u/>
      <sz val="11"/>
      <color theme="4" tint="-0.249977111117893"/>
      <name val="Calibri"/>
      <family val="2"/>
      <scheme val="minor"/>
    </font>
    <font>
      <i/>
      <sz val="11"/>
      <color rgb="FF305496"/>
      <name val="Calibri"/>
      <family val="2"/>
    </font>
    <font>
      <i/>
      <sz val="11"/>
      <color rgb="FF000000"/>
      <name val="Calibri"/>
      <family val="2"/>
    </font>
    <font>
      <sz val="9"/>
      <color theme="0" tint="-0.499984740745262"/>
      <name val="Calibri"/>
      <family val="2"/>
      <scheme val="minor"/>
    </font>
    <font>
      <sz val="8"/>
      <name val="Calibri"/>
      <family val="2"/>
      <scheme val="minor"/>
    </font>
    <font>
      <sz val="11"/>
      <color rgb="FFFF0000"/>
      <name val="Calibri"/>
      <family val="2"/>
      <scheme val="minor"/>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BDD7EE"/>
        <bgColor rgb="FF000000"/>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BDD6EE"/>
        <bgColor indexed="64"/>
      </patternFill>
    </fill>
    <fill>
      <patternFill patternType="solid">
        <fgColor rgb="FFFFFFFF"/>
        <bgColor indexed="64"/>
      </patternFill>
    </fill>
    <fill>
      <patternFill patternType="solid">
        <fgColor rgb="FFD9D9D9"/>
        <bgColor rgb="FF000000"/>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cellStyleXfs>
  <cellXfs count="557">
    <xf numFmtId="0" fontId="0" fillId="0" borderId="0" xfId="0"/>
    <xf numFmtId="0" fontId="4" fillId="0" borderId="0" xfId="0" applyFont="1" applyAlignment="1">
      <alignment horizontal="center" vertical="center"/>
    </xf>
    <xf numFmtId="0" fontId="4" fillId="0" borderId="0" xfId="0" applyFont="1" applyAlignment="1">
      <alignment horizontal="left" vertical="center"/>
    </xf>
    <xf numFmtId="164" fontId="4" fillId="0" borderId="0" xfId="0" applyNumberFormat="1" applyFont="1" applyAlignment="1">
      <alignment horizontal="right" vertical="center"/>
    </xf>
    <xf numFmtId="165" fontId="4" fillId="0" borderId="0" xfId="0" applyNumberFormat="1" applyFont="1" applyAlignment="1">
      <alignment horizontal="right" vertical="center"/>
    </xf>
    <xf numFmtId="166" fontId="4" fillId="0" borderId="0" xfId="0" applyNumberFormat="1" applyFont="1" applyAlignment="1">
      <alignment horizontal="right" vertical="center"/>
    </xf>
    <xf numFmtId="166" fontId="4" fillId="0" borderId="0" xfId="0" applyNumberFormat="1" applyFont="1" applyAlignment="1">
      <alignment horizontal="left" vertical="center"/>
    </xf>
    <xf numFmtId="9" fontId="4" fillId="0" borderId="0" xfId="0" applyNumberFormat="1" applyFont="1" applyAlignment="1">
      <alignment horizontal="left" vertical="center"/>
    </xf>
    <xf numFmtId="3" fontId="4" fillId="0" borderId="0" xfId="0" applyNumberFormat="1" applyFont="1" applyAlignment="1">
      <alignment horizontal="right" vertical="center"/>
    </xf>
    <xf numFmtId="0" fontId="4" fillId="0" borderId="0" xfId="0" applyFont="1" applyAlignment="1">
      <alignment horizontal="right" vertical="center"/>
    </xf>
    <xf numFmtId="3" fontId="4" fillId="0" borderId="0" xfId="1" applyNumberFormat="1" applyFont="1" applyFill="1" applyBorder="1" applyAlignment="1">
      <alignment horizontal="right" vertical="center"/>
    </xf>
    <xf numFmtId="167" fontId="4" fillId="0" borderId="0" xfId="0" applyNumberFormat="1" applyFont="1" applyAlignment="1">
      <alignment horizontal="right" vertical="center"/>
    </xf>
    <xf numFmtId="0" fontId="5" fillId="0" borderId="0" xfId="0" applyFont="1" applyAlignment="1">
      <alignment horizontal="center" vertical="center"/>
    </xf>
    <xf numFmtId="0" fontId="5" fillId="0" borderId="0" xfId="0" applyFont="1" applyAlignment="1">
      <alignment horizontal="left" vertical="center"/>
    </xf>
    <xf numFmtId="164" fontId="5" fillId="0" borderId="0" xfId="0" applyNumberFormat="1" applyFont="1" applyAlignment="1">
      <alignment horizontal="right" vertical="center"/>
    </xf>
    <xf numFmtId="165" fontId="5" fillId="0" borderId="0" xfId="0" applyNumberFormat="1" applyFont="1" applyAlignment="1">
      <alignment horizontal="right" vertical="center"/>
    </xf>
    <xf numFmtId="166" fontId="5" fillId="0" borderId="0" xfId="0" applyNumberFormat="1" applyFont="1" applyAlignment="1">
      <alignment horizontal="right" vertical="center"/>
    </xf>
    <xf numFmtId="166" fontId="5" fillId="0" borderId="0" xfId="0" applyNumberFormat="1" applyFont="1" applyAlignment="1">
      <alignment horizontal="left" vertical="center"/>
    </xf>
    <xf numFmtId="9" fontId="5" fillId="0" borderId="0" xfId="0" applyNumberFormat="1" applyFont="1" applyAlignment="1">
      <alignment horizontal="left" vertical="center"/>
    </xf>
    <xf numFmtId="3" fontId="5" fillId="0" borderId="0" xfId="0" applyNumberFormat="1" applyFont="1" applyAlignment="1">
      <alignment horizontal="right" vertical="center"/>
    </xf>
    <xf numFmtId="0" fontId="5" fillId="0" borderId="0" xfId="0" applyFont="1" applyAlignment="1">
      <alignment horizontal="right" vertical="center"/>
    </xf>
    <xf numFmtId="3" fontId="5" fillId="0" borderId="0" xfId="1" applyNumberFormat="1" applyFont="1" applyFill="1" applyBorder="1" applyAlignment="1">
      <alignment horizontal="right" vertical="center"/>
    </xf>
    <xf numFmtId="2" fontId="6" fillId="0" borderId="0" xfId="1" applyNumberFormat="1" applyFont="1" applyFill="1" applyBorder="1" applyAlignment="1">
      <alignment horizontal="right" vertical="center"/>
    </xf>
    <xf numFmtId="167" fontId="6" fillId="0" borderId="0" xfId="0" applyNumberFormat="1" applyFont="1" applyAlignment="1">
      <alignment horizontal="right" vertical="center"/>
    </xf>
    <xf numFmtId="0" fontId="6" fillId="0" borderId="0" xfId="0" applyFont="1" applyAlignment="1">
      <alignment horizontal="center" vertical="center"/>
    </xf>
    <xf numFmtId="0" fontId="6" fillId="0" borderId="0" xfId="0" applyFont="1" applyAlignment="1">
      <alignment horizontal="left" vertical="center"/>
    </xf>
    <xf numFmtId="164" fontId="6" fillId="0" borderId="0" xfId="0" applyNumberFormat="1" applyFont="1" applyAlignment="1">
      <alignment horizontal="right" vertical="center"/>
    </xf>
    <xf numFmtId="165" fontId="6" fillId="0" borderId="0" xfId="0" applyNumberFormat="1" applyFont="1" applyAlignment="1">
      <alignment horizontal="right" vertical="center"/>
    </xf>
    <xf numFmtId="166" fontId="6" fillId="0" borderId="0" xfId="0" applyNumberFormat="1" applyFont="1" applyAlignment="1">
      <alignment horizontal="right" vertical="center"/>
    </xf>
    <xf numFmtId="166" fontId="6" fillId="0" borderId="0" xfId="0" applyNumberFormat="1" applyFont="1" applyAlignment="1">
      <alignment horizontal="left" vertical="center"/>
    </xf>
    <xf numFmtId="9" fontId="6" fillId="0" borderId="0" xfId="0" applyNumberFormat="1" applyFont="1" applyAlignment="1">
      <alignment horizontal="left" vertical="center"/>
    </xf>
    <xf numFmtId="3" fontId="6" fillId="0" borderId="0" xfId="0" applyNumberFormat="1" applyFont="1" applyAlignment="1">
      <alignment horizontal="right" vertical="center"/>
    </xf>
    <xf numFmtId="0" fontId="6" fillId="0" borderId="0" xfId="0" applyFont="1" applyAlignment="1">
      <alignment horizontal="right" vertical="center"/>
    </xf>
    <xf numFmtId="3" fontId="6" fillId="0" borderId="0" xfId="1" applyNumberFormat="1" applyFont="1" applyFill="1" applyBorder="1" applyAlignment="1">
      <alignment horizontal="right" vertical="center"/>
    </xf>
    <xf numFmtId="4" fontId="6" fillId="0" borderId="0" xfId="1" applyNumberFormat="1" applyFont="1" applyFill="1" applyBorder="1" applyAlignment="1">
      <alignment horizontal="righ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164" fontId="6" fillId="0" borderId="1" xfId="0" applyNumberFormat="1" applyFont="1" applyBorder="1" applyAlignment="1">
      <alignment horizontal="right" vertical="center"/>
    </xf>
    <xf numFmtId="165" fontId="6" fillId="0" borderId="1" xfId="0" applyNumberFormat="1" applyFont="1" applyBorder="1" applyAlignment="1">
      <alignment horizontal="right" vertical="center"/>
    </xf>
    <xf numFmtId="166" fontId="6" fillId="0" borderId="1" xfId="0" applyNumberFormat="1" applyFont="1" applyBorder="1" applyAlignment="1">
      <alignment horizontal="right" vertical="center"/>
    </xf>
    <xf numFmtId="166" fontId="6" fillId="0" borderId="1" xfId="0" applyNumberFormat="1" applyFont="1" applyBorder="1" applyAlignment="1">
      <alignment horizontal="left" vertical="center"/>
    </xf>
    <xf numFmtId="9" fontId="6" fillId="0" borderId="1" xfId="0" applyNumberFormat="1" applyFont="1" applyBorder="1" applyAlignment="1">
      <alignment horizontal="left" vertical="center"/>
    </xf>
    <xf numFmtId="3" fontId="6" fillId="0" borderId="1" xfId="0" applyNumberFormat="1" applyFont="1" applyBorder="1" applyAlignment="1">
      <alignment horizontal="right" vertical="center"/>
    </xf>
    <xf numFmtId="0" fontId="6" fillId="0" borderId="1" xfId="0" applyFont="1" applyBorder="1" applyAlignment="1">
      <alignment horizontal="right" vertical="center"/>
    </xf>
    <xf numFmtId="3" fontId="6" fillId="0" borderId="1" xfId="1" applyNumberFormat="1" applyFont="1" applyFill="1" applyBorder="1" applyAlignment="1">
      <alignment horizontal="right" vertical="center"/>
    </xf>
    <xf numFmtId="2" fontId="6" fillId="0" borderId="1" xfId="1" applyNumberFormat="1" applyFont="1" applyFill="1" applyBorder="1" applyAlignment="1">
      <alignment horizontal="right" vertical="center"/>
    </xf>
    <xf numFmtId="167" fontId="6" fillId="0" borderId="1" xfId="0" applyNumberFormat="1" applyFont="1" applyBorder="1" applyAlignment="1">
      <alignment horizontal="right" vertical="center"/>
    </xf>
    <xf numFmtId="0" fontId="7" fillId="0" borderId="0" xfId="0" applyFont="1" applyAlignment="1">
      <alignment horizontal="center" vertical="center"/>
    </xf>
    <xf numFmtId="3" fontId="6" fillId="0" borderId="0" xfId="1" applyNumberFormat="1" applyFont="1" applyAlignment="1">
      <alignment horizontal="right" vertical="center"/>
    </xf>
    <xf numFmtId="0" fontId="10" fillId="0" borderId="0" xfId="0" applyFont="1"/>
    <xf numFmtId="0" fontId="11" fillId="0" borderId="0" xfId="0" applyFont="1" applyAlignment="1">
      <alignment horizontal="left" vertical="center" wrapText="1"/>
    </xf>
    <xf numFmtId="0" fontId="10" fillId="0" borderId="0" xfId="0" applyFont="1" applyAlignment="1">
      <alignment horizontal="left" vertical="center"/>
    </xf>
    <xf numFmtId="14" fontId="11" fillId="0" borderId="0" xfId="0" applyNumberFormat="1" applyFont="1" applyAlignment="1">
      <alignment vertical="center" wrapText="1"/>
    </xf>
    <xf numFmtId="14" fontId="11" fillId="0" borderId="0" xfId="0" applyNumberFormat="1" applyFont="1" applyAlignment="1">
      <alignment horizontal="left" vertical="center" wrapText="1"/>
    </xf>
    <xf numFmtId="165" fontId="11" fillId="0" borderId="0" xfId="0" applyNumberFormat="1" applyFont="1" applyAlignment="1">
      <alignment horizontal="left" vertical="center" wrapText="1"/>
    </xf>
    <xf numFmtId="166" fontId="11" fillId="0" borderId="0" xfId="0" applyNumberFormat="1" applyFont="1" applyAlignment="1">
      <alignment horizontal="left" vertical="center" wrapText="1"/>
    </xf>
    <xf numFmtId="0" fontId="11" fillId="0" borderId="0" xfId="0" applyFont="1" applyAlignment="1">
      <alignment horizontal="left" vertical="center"/>
    </xf>
    <xf numFmtId="9" fontId="11" fillId="0" borderId="0" xfId="0" applyNumberFormat="1" applyFont="1" applyAlignment="1">
      <alignment vertical="center" wrapText="1"/>
    </xf>
    <xf numFmtId="9" fontId="11" fillId="0" borderId="0" xfId="0" applyNumberFormat="1" applyFont="1" applyAlignment="1">
      <alignment horizontal="left" vertical="center" wrapText="1"/>
    </xf>
    <xf numFmtId="3" fontId="11" fillId="0" borderId="0" xfId="0" applyNumberFormat="1" applyFont="1" applyAlignment="1">
      <alignment vertical="center" wrapText="1"/>
    </xf>
    <xf numFmtId="3" fontId="11" fillId="0" borderId="0" xfId="0" applyNumberFormat="1" applyFont="1" applyAlignment="1">
      <alignment horizontal="left" vertical="center" wrapText="1"/>
    </xf>
    <xf numFmtId="0" fontId="11" fillId="0" borderId="0" xfId="0" applyFont="1" applyAlignment="1">
      <alignment vertical="center" wrapText="1"/>
    </xf>
    <xf numFmtId="3" fontId="11" fillId="0" borderId="0" xfId="3" applyNumberFormat="1" applyFont="1" applyAlignment="1">
      <alignment horizontal="left" vertical="center" wrapText="1"/>
    </xf>
    <xf numFmtId="168" fontId="11" fillId="0" borderId="0" xfId="0" applyNumberFormat="1" applyFont="1" applyAlignment="1">
      <alignment horizontal="left" vertical="center" wrapText="1"/>
    </xf>
    <xf numFmtId="169" fontId="11" fillId="0" borderId="0" xfId="3" applyNumberFormat="1" applyFont="1" applyAlignment="1">
      <alignment horizontal="left" vertical="center" wrapText="1"/>
    </xf>
    <xf numFmtId="0" fontId="10"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wrapText="1"/>
    </xf>
    <xf numFmtId="0" fontId="8" fillId="5" borderId="0" xfId="0" applyFont="1" applyFill="1" applyAlignment="1">
      <alignment horizontal="center" vertical="center" wrapText="1"/>
    </xf>
    <xf numFmtId="0" fontId="8" fillId="0" borderId="0" xfId="0" applyFont="1"/>
    <xf numFmtId="0" fontId="8" fillId="4" borderId="0" xfId="0" applyFont="1" applyFill="1" applyAlignment="1">
      <alignment vertical="center" wrapText="1"/>
    </xf>
    <xf numFmtId="0" fontId="7" fillId="4" borderId="0" xfId="0" applyFont="1" applyFill="1" applyAlignment="1">
      <alignment horizontal="center" vertical="center" wrapText="1"/>
    </xf>
    <xf numFmtId="0" fontId="7" fillId="0" borderId="0" xfId="0" applyFont="1"/>
    <xf numFmtId="0" fontId="6" fillId="0" borderId="0" xfId="0" applyFont="1" applyAlignment="1">
      <alignment horizontal="center" vertical="center" wrapText="1"/>
    </xf>
    <xf numFmtId="0" fontId="7" fillId="0" borderId="0" xfId="0" applyFont="1" applyAlignment="1">
      <alignment horizontal="center" vertical="center" wrapText="1"/>
    </xf>
    <xf numFmtId="0" fontId="2" fillId="0" borderId="0" xfId="4" applyFill="1"/>
    <xf numFmtId="0" fontId="7" fillId="0" borderId="0" xfId="0" applyFont="1" applyAlignment="1">
      <alignment vertical="center" wrapText="1"/>
    </xf>
    <xf numFmtId="1" fontId="6" fillId="0" borderId="0" xfId="0" applyNumberFormat="1" applyFont="1" applyAlignment="1">
      <alignment horizontal="center" vertical="center" wrapText="1"/>
    </xf>
    <xf numFmtId="14" fontId="6"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165" fontId="7" fillId="0" borderId="0" xfId="0" applyNumberFormat="1" applyFont="1" applyAlignment="1">
      <alignment horizontal="center" vertical="center" wrapText="1"/>
    </xf>
    <xf numFmtId="166" fontId="6" fillId="0" borderId="0" xfId="0" applyNumberFormat="1" applyFont="1" applyAlignment="1">
      <alignment horizontal="center" vertical="center" wrapText="1"/>
    </xf>
    <xf numFmtId="166" fontId="6" fillId="0" borderId="0" xfId="2" applyNumberFormat="1" applyFont="1" applyAlignment="1">
      <alignment horizontal="center" vertical="center" wrapText="1"/>
    </xf>
    <xf numFmtId="9" fontId="6" fillId="0" borderId="0" xfId="3" applyFont="1" applyAlignment="1">
      <alignment horizontal="center" vertical="center" wrapText="1"/>
    </xf>
    <xf numFmtId="9" fontId="6" fillId="0" borderId="0" xfId="0" applyNumberFormat="1" applyFont="1" applyAlignment="1">
      <alignment horizontal="center" vertical="center" wrapText="1"/>
    </xf>
    <xf numFmtId="3" fontId="6" fillId="0" borderId="0" xfId="0" applyNumberFormat="1" applyFont="1" applyAlignment="1">
      <alignment vertical="center" wrapText="1"/>
    </xf>
    <xf numFmtId="3" fontId="6" fillId="0" borderId="0" xfId="0" applyNumberFormat="1" applyFont="1" applyAlignment="1">
      <alignment horizontal="center" vertical="center" wrapText="1"/>
    </xf>
    <xf numFmtId="3" fontId="7" fillId="0" borderId="0" xfId="0" applyNumberFormat="1" applyFont="1" applyAlignment="1">
      <alignment horizontal="center" vertical="center" wrapText="1"/>
    </xf>
    <xf numFmtId="0" fontId="6" fillId="0" borderId="0" xfId="0" applyFont="1" applyAlignment="1">
      <alignment vertical="center" wrapText="1"/>
    </xf>
    <xf numFmtId="170" fontId="6" fillId="0" borderId="0" xfId="3" applyNumberFormat="1" applyFont="1" applyAlignment="1">
      <alignment horizontal="center" vertical="center" wrapText="1"/>
    </xf>
    <xf numFmtId="168" fontId="6" fillId="0" borderId="0" xfId="0" applyNumberFormat="1" applyFont="1" applyAlignment="1">
      <alignment horizontal="center" vertical="center" wrapText="1"/>
    </xf>
    <xf numFmtId="169" fontId="6" fillId="0" borderId="0" xfId="3" applyNumberFormat="1" applyFont="1" applyAlignment="1">
      <alignment horizontal="center" vertical="center" wrapText="1"/>
    </xf>
    <xf numFmtId="169" fontId="6" fillId="0" borderId="0" xfId="0" applyNumberFormat="1" applyFont="1" applyAlignment="1">
      <alignment horizontal="center" vertical="center" wrapText="1"/>
    </xf>
    <xf numFmtId="0" fontId="12" fillId="0" borderId="0" xfId="0" applyFont="1"/>
    <xf numFmtId="0" fontId="12" fillId="0" borderId="0" xfId="0" applyFont="1" applyAlignment="1">
      <alignment vertical="center" wrapText="1"/>
    </xf>
    <xf numFmtId="171" fontId="12" fillId="0" borderId="0" xfId="1" applyNumberFormat="1" applyFont="1" applyAlignment="1">
      <alignment horizontal="centerContinuous" vertical="center" wrapText="1"/>
    </xf>
    <xf numFmtId="0" fontId="12" fillId="0" borderId="0" xfId="0" applyFont="1" applyAlignment="1">
      <alignment horizontal="center" vertical="center"/>
    </xf>
    <xf numFmtId="166" fontId="12" fillId="0" borderId="0" xfId="0" applyNumberFormat="1" applyFont="1" applyAlignment="1">
      <alignment horizontal="center" vertical="center"/>
    </xf>
    <xf numFmtId="0" fontId="8" fillId="4" borderId="0" xfId="0" applyFont="1" applyFill="1" applyAlignment="1">
      <alignment horizontal="justify" vertical="center" wrapText="1"/>
    </xf>
    <xf numFmtId="0" fontId="8" fillId="4" borderId="0" xfId="0" applyFont="1" applyFill="1" applyAlignment="1">
      <alignment horizontal="center" vertical="center" wrapText="1"/>
    </xf>
    <xf numFmtId="0" fontId="3" fillId="0" borderId="0" xfId="5" applyFill="1"/>
    <xf numFmtId="165" fontId="7" fillId="0" borderId="0" xfId="0" applyNumberFormat="1" applyFont="1"/>
    <xf numFmtId="165" fontId="7" fillId="0" borderId="0" xfId="0" applyNumberFormat="1" applyFont="1" applyAlignment="1">
      <alignment horizontal="justify" vertical="center" wrapText="1"/>
    </xf>
    <xf numFmtId="0" fontId="7" fillId="0" borderId="0" xfId="0" applyFont="1" applyAlignment="1">
      <alignment horizontal="justify" vertical="center" wrapText="1"/>
    </xf>
    <xf numFmtId="166" fontId="7" fillId="0" borderId="0" xfId="0" applyNumberFormat="1" applyFont="1" applyAlignment="1">
      <alignment horizontal="center" vertical="center" wrapText="1"/>
    </xf>
    <xf numFmtId="170" fontId="7" fillId="0" borderId="0" xfId="3" applyNumberFormat="1" applyFont="1" applyBorder="1" applyAlignment="1">
      <alignment horizontal="justify" vertical="center" wrapText="1"/>
    </xf>
    <xf numFmtId="170" fontId="7" fillId="0" borderId="0" xfId="3" applyNumberFormat="1" applyFont="1" applyBorder="1" applyAlignment="1">
      <alignment horizontal="center" vertical="center" wrapText="1"/>
    </xf>
    <xf numFmtId="170" fontId="7" fillId="0" borderId="0" xfId="3" applyNumberFormat="1" applyFont="1"/>
    <xf numFmtId="164" fontId="7" fillId="0" borderId="0" xfId="0" applyNumberFormat="1" applyFont="1" applyAlignment="1">
      <alignment horizontal="center" vertical="center" wrapText="1"/>
    </xf>
    <xf numFmtId="0" fontId="13" fillId="4" borderId="0" xfId="0" applyFont="1" applyFill="1" applyAlignment="1">
      <alignment horizontal="center" vertical="center" wrapText="1"/>
    </xf>
    <xf numFmtId="170" fontId="7" fillId="0" borderId="0" xfId="0" applyNumberFormat="1" applyFont="1" applyAlignment="1">
      <alignment horizontal="center" vertical="center" wrapText="1"/>
    </xf>
    <xf numFmtId="0" fontId="7" fillId="0" borderId="0" xfId="0" applyFont="1" applyAlignment="1">
      <alignment horizontal="left" vertical="center" wrapText="1"/>
    </xf>
    <xf numFmtId="168" fontId="7" fillId="0" borderId="0" xfId="3" applyNumberFormat="1" applyFont="1" applyBorder="1" applyAlignment="1">
      <alignment horizontal="center" vertical="center" wrapText="1"/>
    </xf>
    <xf numFmtId="170" fontId="7" fillId="0" borderId="0" xfId="0" applyNumberFormat="1" applyFont="1" applyAlignment="1">
      <alignment horizontal="center"/>
    </xf>
    <xf numFmtId="165" fontId="8" fillId="6" borderId="0" xfId="0" applyNumberFormat="1" applyFont="1" applyFill="1" applyAlignment="1">
      <alignment horizontal="justify" vertical="center" wrapText="1"/>
    </xf>
    <xf numFmtId="165" fontId="8" fillId="6" borderId="0" xfId="0" applyNumberFormat="1" applyFont="1" applyFill="1" applyAlignment="1">
      <alignment horizontal="center" vertical="center"/>
    </xf>
    <xf numFmtId="166" fontId="8" fillId="6" borderId="0" xfId="0" applyNumberFormat="1" applyFont="1" applyFill="1" applyAlignment="1">
      <alignment horizontal="center"/>
    </xf>
    <xf numFmtId="165" fontId="8" fillId="0" borderId="0" xfId="0" applyNumberFormat="1" applyFont="1"/>
    <xf numFmtId="0" fontId="14" fillId="7" borderId="1" xfId="0" applyFont="1" applyFill="1" applyBorder="1" applyAlignment="1">
      <alignment horizontal="center" vertical="center"/>
    </xf>
    <xf numFmtId="0" fontId="15" fillId="7" borderId="1" xfId="0" applyFont="1" applyFill="1" applyBorder="1" applyAlignment="1">
      <alignment horizontal="center" vertical="center"/>
    </xf>
    <xf numFmtId="0" fontId="14" fillId="0" borderId="0" xfId="0" applyFont="1" applyAlignment="1">
      <alignment horizontal="left" vertical="center" wrapText="1"/>
    </xf>
    <xf numFmtId="166" fontId="14" fillId="0" borderId="0" xfId="0" applyNumberFormat="1" applyFont="1" applyAlignment="1">
      <alignment horizontal="center" vertical="center"/>
    </xf>
    <xf numFmtId="0" fontId="14" fillId="0" borderId="0" xfId="0" applyFont="1" applyAlignment="1">
      <alignment vertical="center"/>
    </xf>
    <xf numFmtId="0" fontId="16" fillId="0" borderId="0" xfId="0" applyFont="1"/>
    <xf numFmtId="0" fontId="17" fillId="0" borderId="0" xfId="0" applyFont="1"/>
    <xf numFmtId="0" fontId="16" fillId="6" borderId="1" xfId="0" applyFont="1" applyFill="1" applyBorder="1" applyAlignment="1">
      <alignment vertical="center" wrapText="1"/>
    </xf>
    <xf numFmtId="0" fontId="16" fillId="6" borderId="1" xfId="0" applyFont="1" applyFill="1" applyBorder="1" applyAlignment="1">
      <alignment horizontal="center" vertical="center" wrapText="1"/>
    </xf>
    <xf numFmtId="0" fontId="17" fillId="0" borderId="0" xfId="0" applyFont="1" applyAlignment="1">
      <alignment horizontal="center" vertical="center" wrapText="1"/>
    </xf>
    <xf numFmtId="3" fontId="17" fillId="0" borderId="0" xfId="0" applyNumberFormat="1" applyFont="1" applyAlignment="1">
      <alignment horizontal="center" vertical="center" wrapText="1"/>
    </xf>
    <xf numFmtId="9" fontId="17" fillId="0" borderId="0" xfId="0" applyNumberFormat="1" applyFont="1" applyAlignment="1">
      <alignment horizontal="center" vertical="center" wrapText="1"/>
    </xf>
    <xf numFmtId="0" fontId="16" fillId="0" borderId="0" xfId="0" applyFont="1" applyAlignment="1">
      <alignment horizontal="center" vertical="center" wrapText="1"/>
    </xf>
    <xf numFmtId="3" fontId="16" fillId="0" borderId="0" xfId="0" applyNumberFormat="1" applyFont="1" applyAlignment="1">
      <alignment horizontal="center" vertical="center" wrapText="1"/>
    </xf>
    <xf numFmtId="9" fontId="16" fillId="0" borderId="0" xfId="0" applyNumberFormat="1" applyFont="1" applyAlignment="1">
      <alignment horizontal="center" vertical="center" wrapText="1"/>
    </xf>
    <xf numFmtId="0" fontId="18" fillId="0" borderId="0" xfId="0" applyFont="1" applyAlignment="1">
      <alignment horizontal="center" vertical="center" wrapText="1"/>
    </xf>
    <xf numFmtId="3" fontId="18" fillId="0" borderId="0" xfId="0" applyNumberFormat="1" applyFont="1" applyAlignment="1">
      <alignment horizontal="center" vertical="center" wrapText="1"/>
    </xf>
    <xf numFmtId="9" fontId="18" fillId="0" borderId="0" xfId="0" applyNumberFormat="1" applyFont="1" applyAlignment="1">
      <alignment horizontal="center" vertical="center" wrapText="1"/>
    </xf>
    <xf numFmtId="0" fontId="18" fillId="0" borderId="0" xfId="0" applyFont="1" applyAlignment="1">
      <alignment vertical="center" wrapText="1"/>
    </xf>
    <xf numFmtId="0" fontId="19" fillId="0" borderId="7" xfId="0" applyFont="1" applyBorder="1" applyAlignment="1">
      <alignment horizontal="center" vertical="center"/>
    </xf>
    <xf numFmtId="0" fontId="19" fillId="0" borderId="0" xfId="0" applyFont="1" applyAlignment="1">
      <alignment horizontal="center" vertical="center"/>
    </xf>
    <xf numFmtId="0" fontId="19" fillId="0" borderId="8" xfId="0" applyFont="1" applyBorder="1" applyAlignment="1">
      <alignment horizontal="center" vertical="center"/>
    </xf>
    <xf numFmtId="3" fontId="20" fillId="0" borderId="7" xfId="0" applyNumberFormat="1" applyFont="1" applyBorder="1" applyAlignment="1">
      <alignment horizontal="center" vertical="center"/>
    </xf>
    <xf numFmtId="8" fontId="20" fillId="0" borderId="0" xfId="0" applyNumberFormat="1" applyFont="1" applyAlignment="1">
      <alignment horizontal="center" vertical="center"/>
    </xf>
    <xf numFmtId="6" fontId="20" fillId="0" borderId="8" xfId="0" applyNumberFormat="1" applyFont="1" applyBorder="1" applyAlignment="1">
      <alignment horizontal="center" vertical="center"/>
    </xf>
    <xf numFmtId="6" fontId="19" fillId="0" borderId="6" xfId="0" applyNumberFormat="1" applyFont="1" applyBorder="1" applyAlignment="1">
      <alignment horizontal="center" vertical="center"/>
    </xf>
    <xf numFmtId="3" fontId="16" fillId="0" borderId="0" xfId="0" applyNumberFormat="1" applyFont="1"/>
    <xf numFmtId="9" fontId="16" fillId="0" borderId="0" xfId="3" applyFont="1"/>
    <xf numFmtId="0" fontId="5" fillId="0" borderId="0" xfId="0" applyFont="1" applyFill="1" applyAlignment="1">
      <alignment horizontal="center" vertical="center"/>
    </xf>
    <xf numFmtId="0" fontId="5" fillId="0" borderId="0" xfId="0" applyFont="1" applyFill="1" applyAlignment="1">
      <alignment horizontal="left" vertical="center"/>
    </xf>
    <xf numFmtId="164" fontId="5" fillId="0" borderId="0" xfId="0" applyNumberFormat="1" applyFont="1" applyFill="1" applyAlignment="1">
      <alignment horizontal="right" vertical="center"/>
    </xf>
    <xf numFmtId="165" fontId="5" fillId="0" borderId="0" xfId="0" applyNumberFormat="1" applyFont="1" applyFill="1" applyAlignment="1">
      <alignment horizontal="right" vertical="center"/>
    </xf>
    <xf numFmtId="166" fontId="5" fillId="0" borderId="0" xfId="0" applyNumberFormat="1" applyFont="1" applyFill="1" applyAlignment="1">
      <alignment horizontal="right" vertical="center"/>
    </xf>
    <xf numFmtId="166" fontId="5" fillId="0" borderId="0" xfId="0" applyNumberFormat="1" applyFont="1" applyFill="1" applyAlignment="1">
      <alignment horizontal="left" vertical="center"/>
    </xf>
    <xf numFmtId="9" fontId="5" fillId="0" borderId="0" xfId="0" applyNumberFormat="1" applyFont="1" applyFill="1" applyAlignment="1">
      <alignment horizontal="left" vertical="center"/>
    </xf>
    <xf numFmtId="3" fontId="5" fillId="0" borderId="0" xfId="0" applyNumberFormat="1" applyFont="1" applyFill="1" applyAlignment="1">
      <alignment horizontal="right" vertical="center"/>
    </xf>
    <xf numFmtId="0" fontId="5" fillId="0" borderId="0" xfId="0" applyFont="1" applyFill="1" applyAlignment="1">
      <alignment horizontal="right" vertical="center"/>
    </xf>
    <xf numFmtId="2" fontId="5" fillId="0" borderId="0" xfId="1" applyNumberFormat="1" applyFont="1" applyFill="1" applyBorder="1" applyAlignment="1">
      <alignment horizontal="right" vertical="center"/>
    </xf>
    <xf numFmtId="167" fontId="5" fillId="0" borderId="0" xfId="0" applyNumberFormat="1" applyFont="1" applyFill="1" applyAlignment="1">
      <alignment horizontal="right" vertical="center"/>
    </xf>
    <xf numFmtId="0" fontId="4" fillId="6" borderId="1" xfId="0" applyFont="1" applyFill="1" applyBorder="1" applyAlignment="1">
      <alignment vertical="center"/>
    </xf>
    <xf numFmtId="0" fontId="4" fillId="6" borderId="1" xfId="0" applyFont="1" applyFill="1" applyBorder="1" applyAlignment="1">
      <alignment horizontal="center" vertical="center"/>
    </xf>
    <xf numFmtId="164" fontId="4" fillId="6" borderId="1" xfId="0" applyNumberFormat="1" applyFont="1" applyFill="1" applyBorder="1" applyAlignment="1">
      <alignment vertical="center"/>
    </xf>
    <xf numFmtId="165" fontId="4" fillId="6" borderId="1" xfId="0" applyNumberFormat="1" applyFont="1" applyFill="1" applyBorder="1" applyAlignment="1">
      <alignment vertical="center"/>
    </xf>
    <xf numFmtId="166" fontId="4" fillId="6" borderId="1" xfId="0" applyNumberFormat="1" applyFont="1" applyFill="1" applyBorder="1" applyAlignment="1">
      <alignment vertical="center"/>
    </xf>
    <xf numFmtId="166" fontId="4" fillId="6" borderId="1" xfId="0" applyNumberFormat="1" applyFont="1" applyFill="1" applyBorder="1" applyAlignment="1">
      <alignment horizontal="left" vertical="center"/>
    </xf>
    <xf numFmtId="9" fontId="4" fillId="6" borderId="1" xfId="0" applyNumberFormat="1" applyFont="1" applyFill="1" applyBorder="1" applyAlignment="1">
      <alignment horizontal="left" vertical="center"/>
    </xf>
    <xf numFmtId="3" fontId="4" fillId="6" borderId="1" xfId="0" applyNumberFormat="1" applyFont="1" applyFill="1" applyBorder="1" applyAlignment="1">
      <alignment vertical="center"/>
    </xf>
    <xf numFmtId="3" fontId="4" fillId="6" borderId="1" xfId="1" applyNumberFormat="1" applyFont="1" applyFill="1" applyBorder="1" applyAlignment="1">
      <alignment vertical="center"/>
    </xf>
    <xf numFmtId="0" fontId="4" fillId="6" borderId="1" xfId="0" applyFont="1" applyFill="1" applyBorder="1" applyAlignment="1">
      <alignment horizontal="left" vertical="center"/>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xf>
    <xf numFmtId="1" fontId="5" fillId="0" borderId="1" xfId="0" applyNumberFormat="1" applyFont="1" applyFill="1" applyBorder="1" applyAlignment="1">
      <alignment horizontal="left" vertical="center"/>
    </xf>
    <xf numFmtId="164" fontId="5" fillId="0" borderId="1" xfId="0" applyNumberFormat="1" applyFont="1" applyFill="1" applyBorder="1" applyAlignment="1">
      <alignment horizontal="right" vertical="center"/>
    </xf>
    <xf numFmtId="165" fontId="5" fillId="0" borderId="1" xfId="0" applyNumberFormat="1" applyFont="1" applyFill="1" applyBorder="1" applyAlignment="1">
      <alignment horizontal="right" vertical="center"/>
    </xf>
    <xf numFmtId="166" fontId="5" fillId="0" borderId="1" xfId="0" applyNumberFormat="1" applyFont="1" applyFill="1" applyBorder="1" applyAlignment="1">
      <alignment horizontal="right" vertical="center"/>
    </xf>
    <xf numFmtId="166" fontId="5" fillId="0" borderId="1" xfId="0" applyNumberFormat="1" applyFont="1" applyFill="1" applyBorder="1" applyAlignment="1">
      <alignment horizontal="left" vertical="center"/>
    </xf>
    <xf numFmtId="9" fontId="5" fillId="0" borderId="1" xfId="0" applyNumberFormat="1" applyFont="1" applyFill="1" applyBorder="1" applyAlignment="1">
      <alignment horizontal="left" vertical="center"/>
    </xf>
    <xf numFmtId="3" fontId="5" fillId="0" borderId="1" xfId="0" applyNumberFormat="1" applyFont="1" applyFill="1" applyBorder="1" applyAlignment="1">
      <alignment horizontal="right" vertical="center"/>
    </xf>
    <xf numFmtId="0" fontId="5" fillId="0" borderId="1" xfId="0" applyFont="1" applyFill="1" applyBorder="1" applyAlignment="1">
      <alignment horizontal="right" vertical="center"/>
    </xf>
    <xf numFmtId="3" fontId="5" fillId="0" borderId="1" xfId="1" applyNumberFormat="1" applyFont="1" applyFill="1" applyBorder="1" applyAlignment="1">
      <alignment horizontal="right" vertical="center"/>
    </xf>
    <xf numFmtId="2" fontId="5" fillId="0" borderId="1" xfId="1" applyNumberFormat="1" applyFont="1" applyFill="1" applyBorder="1" applyAlignment="1">
      <alignment horizontal="right" vertical="center"/>
    </xf>
    <xf numFmtId="167" fontId="5" fillId="0" borderId="1" xfId="0" applyNumberFormat="1" applyFont="1" applyFill="1" applyBorder="1" applyAlignment="1">
      <alignment horizontal="right" vertical="center"/>
    </xf>
    <xf numFmtId="0" fontId="21" fillId="0" borderId="0" xfId="0" applyFont="1" applyAlignment="1">
      <alignment vertical="center"/>
    </xf>
    <xf numFmtId="0" fontId="11" fillId="0" borderId="0" xfId="0" applyFont="1" applyAlignment="1">
      <alignment horizontal="left" vertical="center" wrapText="1"/>
    </xf>
    <xf numFmtId="169" fontId="6" fillId="0" borderId="1" xfId="1" applyNumberFormat="1" applyFont="1" applyFill="1" applyBorder="1" applyAlignment="1">
      <alignment horizontal="right" vertical="center"/>
    </xf>
    <xf numFmtId="172" fontId="6" fillId="0" borderId="1" xfId="0" applyNumberFormat="1" applyFont="1" applyBorder="1" applyAlignment="1">
      <alignment horizontal="left" vertical="center"/>
    </xf>
    <xf numFmtId="169" fontId="6" fillId="0" borderId="0" xfId="1" applyNumberFormat="1" applyFont="1" applyFill="1" applyBorder="1" applyAlignment="1">
      <alignment horizontal="right" vertical="center"/>
    </xf>
    <xf numFmtId="172" fontId="6" fillId="0" borderId="0" xfId="0" applyNumberFormat="1" applyFont="1" applyAlignment="1">
      <alignment horizontal="left" vertical="center"/>
    </xf>
    <xf numFmtId="169" fontId="5" fillId="0" borderId="0" xfId="1" applyNumberFormat="1" applyFont="1" applyFill="1" applyBorder="1" applyAlignment="1">
      <alignment horizontal="right" vertical="center"/>
    </xf>
    <xf numFmtId="172" fontId="5" fillId="0" borderId="0" xfId="0" applyNumberFormat="1" applyFont="1" applyAlignment="1">
      <alignment horizontal="left" vertical="center"/>
    </xf>
    <xf numFmtId="1" fontId="5" fillId="0" borderId="0" xfId="0" applyNumberFormat="1" applyFont="1" applyAlignment="1">
      <alignment horizontal="left" vertical="center"/>
    </xf>
    <xf numFmtId="0" fontId="5" fillId="9" borderId="0" xfId="0" applyFont="1" applyFill="1" applyAlignment="1">
      <alignment horizontal="right" vertical="center"/>
    </xf>
    <xf numFmtId="0" fontId="5" fillId="9" borderId="0" xfId="0" applyFont="1" applyFill="1" applyAlignment="1">
      <alignment horizontal="left" vertical="center"/>
    </xf>
    <xf numFmtId="166" fontId="5" fillId="9" borderId="0" xfId="0" applyNumberFormat="1" applyFont="1" applyFill="1" applyAlignment="1">
      <alignment horizontal="left" vertical="center"/>
    </xf>
    <xf numFmtId="166" fontId="5" fillId="9" borderId="0" xfId="0" applyNumberFormat="1" applyFont="1" applyFill="1" applyAlignment="1">
      <alignment horizontal="right" vertical="center"/>
    </xf>
    <xf numFmtId="2" fontId="5" fillId="9" borderId="0" xfId="1" applyNumberFormat="1" applyFont="1" applyFill="1" applyBorder="1" applyAlignment="1">
      <alignment horizontal="right" vertical="center"/>
    </xf>
    <xf numFmtId="3" fontId="5" fillId="9" borderId="0" xfId="1" applyNumberFormat="1" applyFont="1" applyFill="1" applyBorder="1" applyAlignment="1">
      <alignment horizontal="right" vertical="center"/>
    </xf>
    <xf numFmtId="169" fontId="5" fillId="9" borderId="0" xfId="1" applyNumberFormat="1" applyFont="1" applyFill="1" applyBorder="1" applyAlignment="1">
      <alignment horizontal="right" vertical="center"/>
    </xf>
    <xf numFmtId="3" fontId="5" fillId="9" borderId="0" xfId="0" applyNumberFormat="1" applyFont="1" applyFill="1" applyAlignment="1">
      <alignment horizontal="right" vertical="center"/>
    </xf>
    <xf numFmtId="164" fontId="5" fillId="9" borderId="0" xfId="0" applyNumberFormat="1" applyFont="1" applyFill="1" applyAlignment="1">
      <alignment horizontal="right" vertical="center"/>
    </xf>
    <xf numFmtId="0" fontId="5" fillId="9" borderId="0" xfId="0" applyFont="1" applyFill="1" applyAlignment="1">
      <alignment horizontal="center" vertical="center"/>
    </xf>
    <xf numFmtId="169" fontId="4" fillId="0" borderId="0" xfId="1" applyNumberFormat="1" applyFont="1" applyFill="1" applyBorder="1" applyAlignment="1">
      <alignment horizontal="right" vertical="center"/>
    </xf>
    <xf numFmtId="0" fontId="4" fillId="10" borderId="1" xfId="0" applyFont="1" applyFill="1" applyBorder="1" applyAlignment="1">
      <alignment vertical="center"/>
    </xf>
    <xf numFmtId="0" fontId="4" fillId="10" borderId="1" xfId="0" applyFont="1" applyFill="1" applyBorder="1" applyAlignment="1">
      <alignment horizontal="left" vertical="center"/>
    </xf>
    <xf numFmtId="166" fontId="4" fillId="10" borderId="1" xfId="0" applyNumberFormat="1" applyFont="1" applyFill="1" applyBorder="1" applyAlignment="1">
      <alignment horizontal="left" vertical="center"/>
    </xf>
    <xf numFmtId="166" fontId="4" fillId="10" borderId="1" xfId="0" applyNumberFormat="1" applyFont="1" applyFill="1" applyBorder="1" applyAlignment="1">
      <alignment vertical="center"/>
    </xf>
    <xf numFmtId="3" fontId="4" fillId="10" borderId="1" xfId="1" applyNumberFormat="1" applyFont="1" applyFill="1" applyBorder="1" applyAlignment="1">
      <alignment vertical="center"/>
    </xf>
    <xf numFmtId="3" fontId="4" fillId="10" borderId="1" xfId="0" applyNumberFormat="1" applyFont="1" applyFill="1" applyBorder="1" applyAlignment="1">
      <alignment vertical="center"/>
    </xf>
    <xf numFmtId="164" fontId="4" fillId="10" borderId="1" xfId="0" applyNumberFormat="1" applyFont="1" applyFill="1" applyBorder="1" applyAlignment="1">
      <alignment vertical="center"/>
    </xf>
    <xf numFmtId="166" fontId="11" fillId="0" borderId="0" xfId="0" applyNumberFormat="1" applyFont="1" applyAlignment="1">
      <alignment horizontal="left" vertical="center"/>
    </xf>
    <xf numFmtId="172" fontId="11" fillId="0" borderId="0" xfId="0" applyNumberFormat="1" applyFont="1" applyAlignment="1">
      <alignment horizontal="left" vertical="center"/>
    </xf>
    <xf numFmtId="164" fontId="11" fillId="0" borderId="0" xfId="0" applyNumberFormat="1" applyFont="1" applyAlignment="1">
      <alignment horizontal="left" vertical="center" wrapText="1"/>
    </xf>
    <xf numFmtId="0" fontId="23" fillId="0" borderId="0" xfId="0" applyFont="1"/>
    <xf numFmtId="0" fontId="23" fillId="0" borderId="0" xfId="0" applyFont="1" applyAlignment="1">
      <alignment vertical="center" wrapText="1"/>
    </xf>
    <xf numFmtId="0" fontId="23" fillId="0" borderId="0" xfId="0" applyFont="1" applyAlignment="1">
      <alignment vertical="center"/>
    </xf>
    <xf numFmtId="3" fontId="16" fillId="6" borderId="1" xfId="0" applyNumberFormat="1" applyFont="1" applyFill="1" applyBorder="1" applyAlignment="1">
      <alignment horizontal="center" vertical="center" wrapText="1"/>
    </xf>
    <xf numFmtId="6" fontId="22" fillId="0" borderId="6" xfId="0" applyNumberFormat="1" applyFont="1" applyBorder="1" applyAlignment="1">
      <alignment horizontal="center" vertical="center" wrapText="1"/>
    </xf>
    <xf numFmtId="6" fontId="0" fillId="0" borderId="8" xfId="0" applyNumberFormat="1" applyBorder="1" applyAlignment="1">
      <alignment horizontal="center" vertical="center" wrapText="1"/>
    </xf>
    <xf numFmtId="10" fontId="0" fillId="0" borderId="0" xfId="0" applyNumberFormat="1" applyAlignment="1">
      <alignment horizontal="center" vertical="center" wrapText="1"/>
    </xf>
    <xf numFmtId="6" fontId="0" fillId="0" borderId="7" xfId="0" applyNumberFormat="1" applyBorder="1" applyAlignment="1">
      <alignment horizontal="center" vertical="center" wrapText="1"/>
    </xf>
    <xf numFmtId="10" fontId="15" fillId="4" borderId="0" xfId="0" applyNumberFormat="1" applyFont="1" applyFill="1" applyAlignment="1">
      <alignment horizontal="center" vertical="center" wrapText="1"/>
    </xf>
    <xf numFmtId="10"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5" fillId="0" borderId="0" xfId="0" applyFont="1" applyAlignment="1">
      <alignment horizontal="center" vertical="center" wrapText="1"/>
    </xf>
    <xf numFmtId="6" fontId="0" fillId="0" borderId="0" xfId="0" applyNumberFormat="1" applyAlignment="1">
      <alignment horizontal="center" vertical="center" wrapText="1"/>
    </xf>
    <xf numFmtId="8" fontId="0" fillId="0" borderId="0" xfId="0" applyNumberFormat="1" applyAlignment="1">
      <alignment horizontal="center" vertical="center" wrapText="1"/>
    </xf>
    <xf numFmtId="3" fontId="0" fillId="0" borderId="0" xfId="0" applyNumberFormat="1" applyAlignment="1">
      <alignment horizontal="center" vertical="center" wrapText="1"/>
    </xf>
    <xf numFmtId="0" fontId="15" fillId="4" borderId="1" xfId="0" applyFont="1" applyFill="1" applyBorder="1" applyAlignment="1">
      <alignment horizontal="center" vertical="center" wrapText="1"/>
    </xf>
    <xf numFmtId="0" fontId="14" fillId="6" borderId="1" xfId="0" applyFont="1" applyFill="1" applyBorder="1" applyAlignment="1">
      <alignment horizontal="center" vertical="center"/>
    </xf>
    <xf numFmtId="0" fontId="7" fillId="0" borderId="0" xfId="3" applyNumberFormat="1" applyFont="1" applyBorder="1" applyAlignment="1">
      <alignment horizontal="center" vertical="center" wrapText="1"/>
    </xf>
    <xf numFmtId="169" fontId="7" fillId="0" borderId="0" xfId="3" applyNumberFormat="1" applyFont="1" applyBorder="1" applyAlignment="1">
      <alignment horizontal="center" vertical="center" wrapText="1"/>
    </xf>
    <xf numFmtId="166" fontId="7" fillId="0" borderId="0" xfId="3" applyNumberFormat="1" applyFont="1" applyBorder="1" applyAlignment="1">
      <alignment horizontal="center" vertical="center" wrapText="1"/>
    </xf>
    <xf numFmtId="3" fontId="7" fillId="0" borderId="0" xfId="0" applyNumberFormat="1" applyFont="1" applyAlignment="1">
      <alignment horizontal="justify" vertical="center" wrapText="1"/>
    </xf>
    <xf numFmtId="172" fontId="6" fillId="0" borderId="0" xfId="0" applyNumberFormat="1" applyFont="1" applyAlignment="1">
      <alignment horizontal="center" vertical="center" wrapText="1"/>
    </xf>
    <xf numFmtId="164" fontId="6" fillId="0" borderId="0" xfId="2" applyNumberFormat="1" applyFont="1" applyAlignment="1">
      <alignment horizontal="center" vertical="center" wrapText="1"/>
    </xf>
    <xf numFmtId="164" fontId="6" fillId="0" borderId="0" xfId="0" applyNumberFormat="1" applyFont="1" applyAlignment="1">
      <alignment horizontal="center" vertical="center" wrapText="1"/>
    </xf>
    <xf numFmtId="0" fontId="0" fillId="0" borderId="0" xfId="0" applyAlignment="1">
      <alignment vertical="center"/>
    </xf>
    <xf numFmtId="0" fontId="0" fillId="0" borderId="0" xfId="0" applyAlignment="1">
      <alignment horizontal="right" vertical="center"/>
    </xf>
    <xf numFmtId="0" fontId="0" fillId="0" borderId="0" xfId="0" applyAlignment="1">
      <alignment horizontal="left" vertical="center"/>
    </xf>
    <xf numFmtId="166" fontId="16" fillId="0" borderId="0" xfId="0" applyNumberFormat="1" applyFont="1"/>
    <xf numFmtId="173" fontId="15" fillId="6" borderId="0" xfId="0" applyNumberFormat="1" applyFont="1" applyFill="1"/>
    <xf numFmtId="0" fontId="15" fillId="6" borderId="0" xfId="0" applyFont="1" applyFill="1"/>
    <xf numFmtId="174" fontId="0" fillId="0" borderId="0" xfId="0" applyNumberFormat="1"/>
    <xf numFmtId="173" fontId="0" fillId="0" borderId="0" xfId="0" applyNumberFormat="1"/>
    <xf numFmtId="173" fontId="0" fillId="0" borderId="1" xfId="0" applyNumberFormat="1" applyBorder="1"/>
    <xf numFmtId="0" fontId="0" fillId="0" borderId="1" xfId="0" applyBorder="1"/>
    <xf numFmtId="9" fontId="0" fillId="0" borderId="0" xfId="3" applyFont="1"/>
    <xf numFmtId="0" fontId="24" fillId="0" borderId="0" xfId="0" applyFont="1"/>
    <xf numFmtId="175" fontId="24" fillId="0" borderId="0" xfId="0" applyNumberFormat="1" applyFont="1" applyAlignment="1">
      <alignment horizontal="center" vertical="center"/>
    </xf>
    <xf numFmtId="173" fontId="15" fillId="6" borderId="0" xfId="0" applyNumberFormat="1" applyFont="1" applyFill="1" applyAlignment="1">
      <alignment horizontal="center" vertical="center" wrapText="1"/>
    </xf>
    <xf numFmtId="0" fontId="15" fillId="6" borderId="0" xfId="0" applyFont="1" applyFill="1" applyAlignment="1">
      <alignment horizontal="center" vertical="center" wrapText="1"/>
    </xf>
    <xf numFmtId="6" fontId="15" fillId="4" borderId="9" xfId="0" applyNumberFormat="1" applyFont="1" applyFill="1" applyBorder="1" applyAlignment="1">
      <alignment vertical="center"/>
    </xf>
    <xf numFmtId="0" fontId="15" fillId="4" borderId="10" xfId="0" applyFont="1" applyFill="1" applyBorder="1" applyAlignment="1">
      <alignment horizontal="right" vertical="center"/>
    </xf>
    <xf numFmtId="0" fontId="15" fillId="4" borderId="10" xfId="0" applyFont="1" applyFill="1" applyBorder="1" applyAlignment="1">
      <alignment horizontal="center" vertical="center"/>
    </xf>
    <xf numFmtId="0" fontId="15" fillId="4" borderId="11" xfId="0" applyFont="1" applyFill="1" applyBorder="1" applyAlignment="1">
      <alignment horizontal="left" vertical="center"/>
    </xf>
    <xf numFmtId="175" fontId="0" fillId="0" borderId="1" xfId="0" applyNumberFormat="1" applyBorder="1" applyAlignment="1">
      <alignment horizontal="center" vertical="center"/>
    </xf>
    <xf numFmtId="0" fontId="0" fillId="0" borderId="0" xfId="0" quotePrefix="1" applyAlignment="1">
      <alignment horizontal="center" vertical="center"/>
    </xf>
    <xf numFmtId="175" fontId="0" fillId="0" borderId="0" xfId="0" applyNumberFormat="1" applyAlignment="1">
      <alignment horizontal="center" vertical="center"/>
    </xf>
    <xf numFmtId="9" fontId="0" fillId="0" borderId="0" xfId="0" applyNumberFormat="1" applyAlignment="1">
      <alignment horizontal="center" vertical="center"/>
    </xf>
    <xf numFmtId="5" fontId="0" fillId="0" borderId="8" xfId="0" applyNumberFormat="1" applyBorder="1" applyAlignment="1">
      <alignment horizontal="right" vertical="center"/>
    </xf>
    <xf numFmtId="0" fontId="0" fillId="0" borderId="7" xfId="0" applyBorder="1" applyAlignment="1">
      <alignment horizontal="left" vertical="center"/>
    </xf>
    <xf numFmtId="0" fontId="25" fillId="12" borderId="0" xfId="0" applyFont="1" applyFill="1" applyAlignment="1">
      <alignment horizontal="center" vertical="center" wrapText="1"/>
    </xf>
    <xf numFmtId="0" fontId="25" fillId="12" borderId="0" xfId="0" quotePrefix="1" applyFont="1" applyFill="1" applyAlignment="1">
      <alignment horizontal="center" vertical="center" wrapText="1"/>
    </xf>
    <xf numFmtId="173" fontId="25" fillId="12" borderId="0" xfId="0" applyNumberFormat="1" applyFont="1" applyFill="1" applyAlignment="1">
      <alignment horizontal="center" vertical="center" wrapText="1"/>
    </xf>
    <xf numFmtId="9" fontId="25" fillId="12" borderId="0" xfId="0" applyNumberFormat="1" applyFont="1" applyFill="1" applyAlignment="1">
      <alignment horizontal="center" vertical="center" wrapText="1"/>
    </xf>
    <xf numFmtId="0" fontId="25" fillId="12" borderId="0" xfId="0" applyFont="1" applyFill="1" applyAlignment="1">
      <alignment vertical="center" wrapText="1"/>
    </xf>
    <xf numFmtId="0" fontId="0" fillId="0" borderId="8" xfId="0" applyBorder="1" applyAlignment="1">
      <alignment horizontal="right" vertical="center"/>
    </xf>
    <xf numFmtId="165" fontId="0" fillId="0" borderId="1" xfId="0" applyNumberFormat="1" applyBorder="1" applyAlignment="1">
      <alignment horizontal="right" vertical="center"/>
    </xf>
    <xf numFmtId="170" fontId="0" fillId="0" borderId="0" xfId="0" applyNumberFormat="1" applyAlignment="1">
      <alignment horizontal="center" vertical="center"/>
    </xf>
    <xf numFmtId="165" fontId="0" fillId="0" borderId="0" xfId="0" applyNumberFormat="1" applyAlignment="1">
      <alignment horizontal="right" vertical="center"/>
    </xf>
    <xf numFmtId="0" fontId="15" fillId="0" borderId="7" xfId="0" applyFont="1" applyBorder="1" applyAlignment="1">
      <alignment horizontal="left" vertical="center"/>
    </xf>
    <xf numFmtId="6" fontId="0" fillId="0" borderId="8" xfId="0" applyNumberFormat="1" applyBorder="1" applyAlignment="1">
      <alignment horizontal="right" vertical="center"/>
    </xf>
    <xf numFmtId="0" fontId="25" fillId="0" borderId="6" xfId="0" applyFont="1" applyBorder="1" applyAlignment="1">
      <alignment vertical="center"/>
    </xf>
    <xf numFmtId="0" fontId="25" fillId="0" borderId="1" xfId="0" applyFont="1" applyBorder="1" applyAlignment="1">
      <alignment horizontal="right" vertical="center"/>
    </xf>
    <xf numFmtId="0" fontId="25" fillId="0" borderId="5" xfId="0" applyFont="1" applyBorder="1" applyAlignment="1">
      <alignment horizontal="left" vertical="center"/>
    </xf>
    <xf numFmtId="5" fontId="0" fillId="0" borderId="6" xfId="0" applyNumberFormat="1" applyBorder="1" applyAlignment="1">
      <alignment horizontal="right" vertical="center"/>
    </xf>
    <xf numFmtId="0" fontId="0" fillId="0" borderId="8" xfId="0" applyBorder="1" applyAlignment="1">
      <alignment vertical="center"/>
    </xf>
    <xf numFmtId="170" fontId="25" fillId="0" borderId="0" xfId="0" applyNumberFormat="1" applyFont="1" applyAlignment="1">
      <alignment horizontal="right" vertical="center"/>
    </xf>
    <xf numFmtId="0" fontId="25" fillId="0" borderId="7" xfId="0" applyFont="1" applyBorder="1" applyAlignment="1">
      <alignment horizontal="left" vertical="center"/>
    </xf>
    <xf numFmtId="173" fontId="15" fillId="4" borderId="0" xfId="0" applyNumberFormat="1" applyFont="1" applyFill="1" applyAlignment="1">
      <alignment horizontal="right" vertical="center" wrapText="1"/>
    </xf>
    <xf numFmtId="0" fontId="15" fillId="4" borderId="0" xfId="0" applyFont="1" applyFill="1" applyAlignment="1">
      <alignment horizontal="center" vertical="center" wrapText="1"/>
    </xf>
    <xf numFmtId="173" fontId="25" fillId="0" borderId="0" xfId="0" applyNumberFormat="1" applyFont="1" applyAlignment="1">
      <alignment horizontal="right" vertical="center"/>
    </xf>
    <xf numFmtId="6" fontId="0" fillId="0" borderId="6" xfId="0" applyNumberFormat="1" applyBorder="1" applyAlignment="1">
      <alignment horizontal="right" vertical="center"/>
    </xf>
    <xf numFmtId="173" fontId="25" fillId="12" borderId="1" xfId="0" applyNumberFormat="1" applyFont="1" applyFill="1" applyBorder="1" applyAlignment="1">
      <alignment horizontal="right" vertical="center" wrapText="1"/>
    </xf>
    <xf numFmtId="0" fontId="25" fillId="12" borderId="0" xfId="0" applyFont="1" applyFill="1" applyAlignment="1">
      <alignment horizontal="right" vertical="center" wrapText="1"/>
    </xf>
    <xf numFmtId="9" fontId="25" fillId="0" borderId="0" xfId="0" applyNumberFormat="1" applyFont="1" applyAlignment="1">
      <alignment horizontal="right" vertical="center"/>
    </xf>
    <xf numFmtId="173" fontId="0" fillId="0" borderId="0" xfId="0" applyNumberFormat="1" applyAlignment="1">
      <alignment horizontal="center" wrapText="1"/>
    </xf>
    <xf numFmtId="2" fontId="0" fillId="0" borderId="0" xfId="0" applyNumberFormat="1" applyAlignment="1">
      <alignment horizontal="center" wrapText="1"/>
    </xf>
    <xf numFmtId="9" fontId="0" fillId="0" borderId="0" xfId="0" applyNumberFormat="1" applyAlignment="1">
      <alignment horizontal="center" wrapText="1"/>
    </xf>
    <xf numFmtId="173" fontId="25" fillId="12" borderId="0" xfId="0" applyNumberFormat="1" applyFont="1" applyFill="1" applyAlignment="1">
      <alignment horizontal="right" vertical="center" wrapText="1"/>
    </xf>
    <xf numFmtId="0" fontId="25" fillId="0" borderId="8" xfId="0" applyFont="1" applyBorder="1" applyAlignment="1">
      <alignment vertical="center"/>
    </xf>
    <xf numFmtId="0" fontId="25" fillId="0" borderId="0" xfId="0" applyFont="1" applyAlignment="1">
      <alignment horizontal="right" vertical="center"/>
    </xf>
    <xf numFmtId="0" fontId="15" fillId="4" borderId="1" xfId="0" applyFont="1" applyFill="1" applyBorder="1" applyAlignment="1">
      <alignment horizontal="center" wrapText="1"/>
    </xf>
    <xf numFmtId="0" fontId="15" fillId="6" borderId="1" xfId="0" applyFont="1" applyFill="1" applyBorder="1" applyAlignment="1">
      <alignment horizontal="center" wrapText="1"/>
    </xf>
    <xf numFmtId="10" fontId="25" fillId="0" borderId="0" xfId="0" applyNumberFormat="1" applyFont="1" applyAlignment="1">
      <alignment horizontal="right" vertical="center"/>
    </xf>
    <xf numFmtId="0" fontId="14" fillId="0" borderId="1" xfId="0" applyFont="1" applyBorder="1" applyAlignment="1">
      <alignment horizontal="left" vertical="center"/>
    </xf>
    <xf numFmtId="0" fontId="14" fillId="0" borderId="3" xfId="0" applyFont="1"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left" vertical="center"/>
    </xf>
    <xf numFmtId="0" fontId="15" fillId="0" borderId="0" xfId="0" applyFont="1" applyAlignment="1">
      <alignment horizontal="center" vertical="center"/>
    </xf>
    <xf numFmtId="0" fontId="15" fillId="4" borderId="1" xfId="0" applyFont="1" applyFill="1" applyBorder="1" applyAlignment="1">
      <alignment horizontal="right" vertical="center" wrapText="1"/>
    </xf>
    <xf numFmtId="0" fontId="15" fillId="4" borderId="1" xfId="0" applyFont="1" applyFill="1" applyBorder="1" applyAlignment="1">
      <alignment horizontal="left" vertical="center" wrapText="1"/>
    </xf>
    <xf numFmtId="10" fontId="15" fillId="0" borderId="0" xfId="0" applyNumberFormat="1" applyFont="1" applyAlignment="1">
      <alignment horizontal="center" vertical="center"/>
    </xf>
    <xf numFmtId="3" fontId="0" fillId="0" borderId="0" xfId="0" applyNumberFormat="1" applyAlignment="1">
      <alignment horizontal="right" vertical="center"/>
    </xf>
    <xf numFmtId="6" fontId="16" fillId="6" borderId="3" xfId="0" applyNumberFormat="1" applyFont="1" applyFill="1" applyBorder="1" applyAlignment="1">
      <alignment horizontal="right" vertical="center" wrapText="1"/>
    </xf>
    <xf numFmtId="3" fontId="16" fillId="6" borderId="3" xfId="0" applyNumberFormat="1" applyFont="1" applyFill="1" applyBorder="1" applyAlignment="1">
      <alignment horizontal="right" vertical="center" wrapText="1"/>
    </xf>
    <xf numFmtId="0" fontId="16" fillId="6" borderId="3" xfId="0" applyFont="1" applyFill="1" applyBorder="1" applyAlignment="1">
      <alignment horizontal="center" vertical="center" wrapText="1"/>
    </xf>
    <xf numFmtId="0" fontId="16" fillId="6" borderId="3" xfId="0" applyFont="1" applyFill="1" applyBorder="1" applyAlignment="1">
      <alignment horizontal="right" vertical="center" wrapText="1"/>
    </xf>
    <xf numFmtId="0" fontId="16" fillId="6" borderId="3" xfId="0" applyFont="1" applyFill="1" applyBorder="1" applyAlignment="1">
      <alignment vertical="center" wrapText="1"/>
    </xf>
    <xf numFmtId="0" fontId="18" fillId="0" borderId="0" xfId="0" applyFont="1" applyAlignment="1">
      <alignment horizontal="right" vertical="center" wrapText="1"/>
    </xf>
    <xf numFmtId="3" fontId="17" fillId="0" borderId="0" xfId="0" applyNumberFormat="1" applyFont="1" applyAlignment="1">
      <alignment horizontal="right" vertical="center" wrapText="1"/>
    </xf>
    <xf numFmtId="0" fontId="17" fillId="0" borderId="0" xfId="0" applyFont="1" applyAlignment="1">
      <alignment horizontal="right" vertical="center" wrapText="1"/>
    </xf>
    <xf numFmtId="0" fontId="17" fillId="0" borderId="0" xfId="0" applyFont="1" applyAlignment="1">
      <alignment vertical="center" wrapText="1"/>
    </xf>
    <xf numFmtId="6" fontId="18" fillId="0" borderId="0" xfId="0" applyNumberFormat="1" applyFont="1" applyAlignment="1">
      <alignment horizontal="right" vertical="center" wrapText="1"/>
    </xf>
    <xf numFmtId="5" fontId="26" fillId="0" borderId="1" xfId="0" applyNumberFormat="1" applyFont="1" applyBorder="1" applyAlignment="1">
      <alignment horizontal="right" vertical="center" wrapText="1"/>
    </xf>
    <xf numFmtId="2" fontId="18" fillId="0" borderId="0" xfId="0" applyNumberFormat="1" applyFont="1" applyAlignment="1">
      <alignment horizontal="center" vertical="center" wrapText="1"/>
    </xf>
    <xf numFmtId="6" fontId="0" fillId="0" borderId="0" xfId="0" applyNumberFormat="1"/>
    <xf numFmtId="166" fontId="17" fillId="0" borderId="0" xfId="0" applyNumberFormat="1" applyFont="1" applyAlignment="1">
      <alignment horizontal="right" vertical="center" wrapText="1"/>
    </xf>
    <xf numFmtId="3" fontId="17" fillId="0" borderId="0" xfId="0" applyNumberFormat="1" applyFont="1" applyAlignment="1">
      <alignment horizontal="center" vertical="center"/>
    </xf>
    <xf numFmtId="166" fontId="17" fillId="0" borderId="0" xfId="0" applyNumberFormat="1" applyFont="1" applyAlignment="1">
      <alignment horizontal="right" vertical="center"/>
    </xf>
    <xf numFmtId="0" fontId="16" fillId="0" borderId="0" xfId="0" applyFont="1" applyAlignment="1">
      <alignment horizontal="right" vertical="center" wrapText="1"/>
    </xf>
    <xf numFmtId="0" fontId="16" fillId="0" borderId="0" xfId="0" applyFont="1" applyAlignment="1">
      <alignment horizontal="center" vertical="center"/>
    </xf>
    <xf numFmtId="3" fontId="18" fillId="0" borderId="0" xfId="0" applyNumberFormat="1" applyFont="1" applyAlignment="1">
      <alignment horizontal="right" vertical="center" wrapText="1"/>
    </xf>
    <xf numFmtId="0" fontId="18" fillId="0" borderId="0" xfId="0" applyFont="1" applyAlignment="1">
      <alignment horizontal="right" vertical="center"/>
    </xf>
    <xf numFmtId="0" fontId="25" fillId="0" borderId="7" xfId="0" applyFont="1" applyBorder="1" applyAlignment="1">
      <alignment vertical="center"/>
    </xf>
    <xf numFmtId="0" fontId="25" fillId="0" borderId="8" xfId="0" applyFont="1" applyBorder="1" applyAlignment="1">
      <alignment horizontal="right" vertical="center"/>
    </xf>
    <xf numFmtId="6" fontId="25" fillId="0" borderId="8" xfId="0" applyNumberFormat="1" applyFont="1" applyBorder="1" applyAlignment="1">
      <alignment horizontal="right" vertical="center"/>
    </xf>
    <xf numFmtId="2" fontId="25" fillId="0" borderId="8" xfId="0" applyNumberFormat="1" applyFont="1" applyBorder="1" applyAlignment="1">
      <alignment horizontal="right" vertical="center"/>
    </xf>
    <xf numFmtId="0" fontId="15" fillId="4" borderId="6" xfId="0" applyFont="1" applyFill="1" applyBorder="1" applyAlignment="1">
      <alignment horizontal="right" vertical="center"/>
    </xf>
    <xf numFmtId="0" fontId="15" fillId="4" borderId="5" xfId="0" applyFont="1" applyFill="1" applyBorder="1" applyAlignment="1">
      <alignment vertical="center"/>
    </xf>
    <xf numFmtId="0" fontId="15" fillId="4" borderId="2" xfId="0" applyFont="1" applyFill="1" applyBorder="1" applyAlignment="1">
      <alignment vertical="center"/>
    </xf>
    <xf numFmtId="176" fontId="25" fillId="0" borderId="7" xfId="0" applyNumberFormat="1" applyFont="1" applyBorder="1" applyAlignment="1">
      <alignment horizontal="left" vertical="center"/>
    </xf>
    <xf numFmtId="6" fontId="25" fillId="0" borderId="6" xfId="0" applyNumberFormat="1" applyFont="1" applyBorder="1" applyAlignment="1">
      <alignment horizontal="right" vertical="center"/>
    </xf>
    <xf numFmtId="0" fontId="22" fillId="0" borderId="0" xfId="0" applyFont="1"/>
    <xf numFmtId="1" fontId="15" fillId="4" borderId="4" xfId="0" applyNumberFormat="1" applyFont="1" applyFill="1" applyBorder="1" applyAlignment="1">
      <alignment horizontal="right" vertical="center"/>
    </xf>
    <xf numFmtId="6" fontId="15" fillId="6" borderId="0" xfId="0" applyNumberFormat="1" applyFont="1" applyFill="1" applyAlignment="1">
      <alignment horizontal="right" vertical="center" wrapText="1"/>
    </xf>
    <xf numFmtId="177" fontId="15" fillId="6" borderId="0" xfId="0" applyNumberFormat="1" applyFont="1" applyFill="1" applyAlignment="1">
      <alignment horizontal="center" vertical="center" wrapText="1"/>
    </xf>
    <xf numFmtId="0" fontId="15" fillId="6" borderId="0" xfId="0" applyFont="1" applyFill="1" applyAlignment="1">
      <alignment vertical="center" wrapText="1"/>
    </xf>
    <xf numFmtId="0" fontId="0" fillId="0" borderId="0" xfId="0" applyAlignment="1">
      <alignment horizontal="right" vertical="center" wrapText="1"/>
    </xf>
    <xf numFmtId="6" fontId="28" fillId="0" borderId="0" xfId="0" applyNumberFormat="1" applyFont="1" applyAlignment="1">
      <alignment horizontal="center" vertical="center"/>
    </xf>
    <xf numFmtId="6" fontId="0" fillId="0" borderId="1" xfId="0" applyNumberFormat="1" applyBorder="1" applyAlignment="1">
      <alignment horizontal="right" vertical="center" wrapText="1"/>
    </xf>
    <xf numFmtId="177" fontId="0" fillId="0" borderId="1" xfId="0" applyNumberFormat="1" applyBorder="1" applyAlignment="1">
      <alignment horizontal="center" vertical="center" wrapText="1"/>
    </xf>
    <xf numFmtId="0" fontId="28" fillId="0" borderId="0" xfId="0" applyFont="1" applyAlignment="1">
      <alignment horizontal="center" vertical="center"/>
    </xf>
    <xf numFmtId="6" fontId="22" fillId="0" borderId="0" xfId="0" applyNumberFormat="1" applyFont="1" applyAlignment="1">
      <alignment horizontal="right" wrapText="1"/>
    </xf>
    <xf numFmtId="0" fontId="22" fillId="0" borderId="0" xfId="0" applyFont="1" applyAlignment="1">
      <alignment horizontal="left" wrapText="1"/>
    </xf>
    <xf numFmtId="6" fontId="0" fillId="0" borderId="0" xfId="0" applyNumberFormat="1" applyAlignment="1">
      <alignment horizontal="right" vertical="center" wrapText="1"/>
    </xf>
    <xf numFmtId="177" fontId="0" fillId="0" borderId="0" xfId="0" applyNumberFormat="1" applyAlignment="1">
      <alignment horizontal="center" vertical="center" wrapText="1"/>
    </xf>
    <xf numFmtId="0" fontId="22" fillId="0" borderId="0" xfId="0" applyFont="1" applyAlignment="1">
      <alignment horizontal="right" vertical="center" wrapText="1"/>
    </xf>
    <xf numFmtId="0" fontId="22" fillId="0" borderId="0" xfId="0" applyFont="1" applyAlignment="1">
      <alignment vertical="center" wrapText="1"/>
    </xf>
    <xf numFmtId="165" fontId="22" fillId="0" borderId="0" xfId="0" applyNumberFormat="1" applyFont="1"/>
    <xf numFmtId="0" fontId="0" fillId="0" borderId="1" xfId="0" applyBorder="1" applyAlignment="1">
      <alignment horizontal="right" vertical="center" wrapText="1"/>
    </xf>
    <xf numFmtId="0" fontId="29" fillId="0" borderId="0" xfId="0" applyFont="1" applyAlignment="1">
      <alignment horizontal="center" vertical="center"/>
    </xf>
    <xf numFmtId="178" fontId="0" fillId="0" borderId="0" xfId="0" applyNumberFormat="1" applyAlignment="1">
      <alignment vertical="center"/>
    </xf>
    <xf numFmtId="165" fontId="15" fillId="0" borderId="1" xfId="0" applyNumberFormat="1" applyFont="1" applyBorder="1" applyAlignment="1">
      <alignment vertical="center"/>
    </xf>
    <xf numFmtId="0" fontId="0" fillId="0" borderId="1" xfId="0" applyBorder="1" applyAlignment="1">
      <alignment vertical="center"/>
    </xf>
    <xf numFmtId="6" fontId="15" fillId="4" borderId="3" xfId="0" applyNumberFormat="1" applyFont="1" applyFill="1" applyBorder="1" applyAlignment="1">
      <alignment horizontal="right" vertical="center" wrapText="1"/>
    </xf>
    <xf numFmtId="0" fontId="15" fillId="4" borderId="3" xfId="0" applyFont="1" applyFill="1" applyBorder="1" applyAlignment="1">
      <alignment vertical="center" wrapText="1"/>
    </xf>
    <xf numFmtId="179" fontId="29" fillId="0" borderId="0" xfId="0" applyNumberFormat="1" applyFont="1" applyAlignment="1">
      <alignment horizontal="center" vertical="center"/>
    </xf>
    <xf numFmtId="180" fontId="0" fillId="0" borderId="0" xfId="0" applyNumberFormat="1" applyAlignment="1">
      <alignment horizontal="left" vertical="center" wrapText="1"/>
    </xf>
    <xf numFmtId="169" fontId="29" fillId="0" borderId="0" xfId="0" applyNumberFormat="1" applyFont="1" applyAlignment="1">
      <alignment horizontal="center" vertical="center"/>
    </xf>
    <xf numFmtId="9" fontId="29" fillId="0" borderId="0" xfId="0" applyNumberFormat="1" applyFont="1" applyAlignment="1">
      <alignment horizontal="center" vertical="center"/>
    </xf>
    <xf numFmtId="181" fontId="29" fillId="0" borderId="0" xfId="0" applyNumberFormat="1" applyFont="1" applyAlignment="1">
      <alignment horizontal="center" vertical="center"/>
    </xf>
    <xf numFmtId="182" fontId="29" fillId="0" borderId="0" xfId="0" applyNumberFormat="1" applyFont="1" applyAlignment="1">
      <alignment horizontal="center" vertical="center"/>
    </xf>
    <xf numFmtId="172" fontId="29" fillId="0" borderId="0" xfId="0" applyNumberFormat="1" applyFont="1" applyAlignment="1">
      <alignment horizontal="center" vertical="center"/>
    </xf>
    <xf numFmtId="6" fontId="29" fillId="0" borderId="0" xfId="0" applyNumberFormat="1" applyFont="1" applyAlignment="1">
      <alignment horizontal="center" vertical="center"/>
    </xf>
    <xf numFmtId="165" fontId="15" fillId="0" borderId="10" xfId="0" applyNumberFormat="1" applyFont="1" applyBorder="1" applyAlignment="1">
      <alignment horizontal="right" vertical="center"/>
    </xf>
    <xf numFmtId="0" fontId="0" fillId="0" borderId="10" xfId="0" applyBorder="1" applyAlignment="1">
      <alignment horizontal="left" vertical="center" wrapText="1"/>
    </xf>
    <xf numFmtId="8" fontId="29" fillId="0" borderId="0" xfId="0" applyNumberFormat="1" applyFont="1" applyAlignment="1">
      <alignment horizontal="center" vertical="center"/>
    </xf>
    <xf numFmtId="6" fontId="15" fillId="4" borderId="10" xfId="0" applyNumberFormat="1" applyFont="1" applyFill="1" applyBorder="1" applyAlignment="1">
      <alignment horizontal="right" vertical="center" wrapText="1"/>
    </xf>
    <xf numFmtId="0" fontId="15" fillId="4" borderId="10" xfId="0" applyFont="1" applyFill="1" applyBorder="1" applyAlignment="1">
      <alignment horizontal="left" vertical="center" wrapText="1"/>
    </xf>
    <xf numFmtId="180" fontId="0" fillId="0" borderId="1" xfId="0" applyNumberFormat="1" applyBorder="1" applyAlignment="1">
      <alignment horizontal="left" vertical="center" wrapText="1"/>
    </xf>
    <xf numFmtId="0" fontId="0" fillId="0" borderId="0" xfId="0" applyAlignment="1">
      <alignment horizontal="left" vertical="center" wrapText="1"/>
    </xf>
    <xf numFmtId="183" fontId="0" fillId="0" borderId="0" xfId="0" applyNumberFormat="1" applyAlignment="1">
      <alignment horizontal="left" vertical="center" wrapText="1"/>
    </xf>
    <xf numFmtId="177" fontId="0" fillId="0" borderId="0" xfId="0" applyNumberFormat="1" applyAlignment="1">
      <alignment horizontal="left" vertical="center"/>
    </xf>
    <xf numFmtId="165" fontId="0" fillId="0" borderId="0" xfId="0" applyNumberFormat="1" applyAlignment="1">
      <alignment horizontal="left" vertical="center"/>
    </xf>
    <xf numFmtId="184" fontId="0" fillId="0" borderId="0" xfId="0" applyNumberFormat="1" applyAlignment="1">
      <alignment horizontal="left" vertical="center"/>
    </xf>
    <xf numFmtId="185" fontId="0" fillId="0" borderId="0" xfId="0" applyNumberFormat="1" applyAlignment="1">
      <alignment horizontal="left" vertical="center"/>
    </xf>
    <xf numFmtId="3" fontId="0" fillId="0" borderId="0" xfId="0" applyNumberFormat="1" applyAlignment="1">
      <alignment horizontal="left" vertical="center"/>
    </xf>
    <xf numFmtId="169" fontId="0" fillId="0" borderId="0" xfId="0" applyNumberFormat="1" applyAlignment="1">
      <alignment horizontal="left" vertical="center"/>
    </xf>
    <xf numFmtId="168" fontId="0" fillId="0" borderId="0" xfId="0" applyNumberFormat="1" applyAlignment="1">
      <alignment horizontal="left" vertical="center"/>
    </xf>
    <xf numFmtId="170" fontId="0" fillId="0" borderId="0" xfId="0" applyNumberFormat="1" applyAlignment="1">
      <alignment horizontal="left" vertical="center"/>
    </xf>
    <xf numFmtId="0" fontId="30" fillId="4" borderId="0" xfId="0" applyFont="1" applyFill="1" applyAlignment="1">
      <alignment horizontal="center" vertical="center" wrapText="1"/>
    </xf>
    <xf numFmtId="0" fontId="16" fillId="0" borderId="0" xfId="0" applyFont="1" applyAlignment="1">
      <alignment horizontal="left" vertical="center"/>
    </xf>
    <xf numFmtId="166" fontId="16" fillId="0" borderId="0" xfId="0" applyNumberFormat="1" applyFont="1" applyAlignment="1">
      <alignment horizontal="center" vertical="center"/>
    </xf>
    <xf numFmtId="0" fontId="31" fillId="0" borderId="0" xfId="0" applyFont="1" applyAlignment="1">
      <alignment horizontal="center" vertical="center"/>
    </xf>
    <xf numFmtId="0" fontId="16" fillId="9" borderId="1" xfId="0" applyFont="1" applyFill="1" applyBorder="1"/>
    <xf numFmtId="0" fontId="7" fillId="0" borderId="0" xfId="0" applyFont="1" applyAlignment="1">
      <alignment horizontal="justify" vertical="center" wrapText="1"/>
    </xf>
    <xf numFmtId="186" fontId="4" fillId="0" borderId="0" xfId="1" applyNumberFormat="1" applyFont="1" applyFill="1" applyBorder="1" applyAlignment="1">
      <alignment horizontal="right" vertical="center"/>
    </xf>
    <xf numFmtId="186" fontId="5" fillId="0" borderId="0" xfId="1" applyNumberFormat="1" applyFont="1" applyFill="1" applyBorder="1" applyAlignment="1">
      <alignment horizontal="right" vertical="center"/>
    </xf>
    <xf numFmtId="186" fontId="5" fillId="0" borderId="1" xfId="1" applyNumberFormat="1" applyFont="1" applyFill="1" applyBorder="1" applyAlignment="1">
      <alignment horizontal="right" vertical="center"/>
    </xf>
    <xf numFmtId="186" fontId="6" fillId="0" borderId="0" xfId="1" applyNumberFormat="1" applyFont="1" applyFill="1" applyBorder="1" applyAlignment="1">
      <alignment horizontal="right" vertical="center"/>
    </xf>
    <xf numFmtId="186" fontId="6" fillId="0" borderId="1" xfId="1" applyNumberFormat="1" applyFont="1" applyFill="1" applyBorder="1" applyAlignment="1">
      <alignment horizontal="right" vertical="center"/>
    </xf>
    <xf numFmtId="186" fontId="6" fillId="0" borderId="0" xfId="1" applyNumberFormat="1" applyFont="1" applyAlignment="1">
      <alignment horizontal="right" vertical="center"/>
    </xf>
    <xf numFmtId="169" fontId="5" fillId="0" borderId="1" xfId="1" applyNumberFormat="1" applyFont="1" applyFill="1" applyBorder="1" applyAlignment="1">
      <alignment horizontal="right" vertical="center"/>
    </xf>
    <xf numFmtId="169" fontId="6" fillId="0" borderId="0" xfId="1" applyNumberFormat="1" applyFont="1" applyAlignment="1">
      <alignment horizontal="right" vertical="center"/>
    </xf>
    <xf numFmtId="170" fontId="4" fillId="6" borderId="1" xfId="1" applyNumberFormat="1" applyFont="1" applyFill="1" applyBorder="1" applyAlignment="1">
      <alignment vertical="center"/>
    </xf>
    <xf numFmtId="170" fontId="4" fillId="0" borderId="0" xfId="1" applyNumberFormat="1" applyFont="1" applyFill="1" applyBorder="1" applyAlignment="1">
      <alignment horizontal="right" vertical="center"/>
    </xf>
    <xf numFmtId="170" fontId="5" fillId="0" borderId="0" xfId="1" applyNumberFormat="1" applyFont="1" applyFill="1" applyBorder="1" applyAlignment="1">
      <alignment horizontal="right" vertical="center"/>
    </xf>
    <xf numFmtId="170" fontId="5" fillId="0" borderId="1" xfId="1" applyNumberFormat="1" applyFont="1" applyFill="1" applyBorder="1" applyAlignment="1">
      <alignment horizontal="right" vertical="center"/>
    </xf>
    <xf numFmtId="170" fontId="6" fillId="0" borderId="0" xfId="1" applyNumberFormat="1" applyFont="1" applyFill="1" applyBorder="1" applyAlignment="1">
      <alignment horizontal="right" vertical="center"/>
    </xf>
    <xf numFmtId="170" fontId="6" fillId="0" borderId="0" xfId="1" applyNumberFormat="1" applyFont="1" applyAlignment="1">
      <alignment horizontal="right" vertical="center"/>
    </xf>
    <xf numFmtId="170" fontId="6" fillId="0" borderId="1" xfId="1" applyNumberFormat="1" applyFont="1" applyFill="1" applyBorder="1" applyAlignment="1">
      <alignment horizontal="right" vertical="center"/>
    </xf>
    <xf numFmtId="170" fontId="11" fillId="0" borderId="0" xfId="0" applyNumberFormat="1" applyFont="1" applyAlignment="1">
      <alignment horizontal="left" vertical="center" wrapText="1"/>
    </xf>
    <xf numFmtId="170" fontId="7" fillId="0" borderId="0" xfId="0" applyNumberFormat="1" applyFont="1"/>
    <xf numFmtId="170" fontId="6" fillId="0" borderId="0" xfId="0" applyNumberFormat="1" applyFont="1" applyAlignment="1">
      <alignment vertical="center" wrapText="1"/>
    </xf>
    <xf numFmtId="170" fontId="6" fillId="0" borderId="0" xfId="0" applyNumberFormat="1" applyFont="1" applyAlignment="1">
      <alignment horizontal="center" vertical="center" wrapText="1"/>
    </xf>
    <xf numFmtId="170" fontId="7" fillId="0" borderId="0" xfId="0" applyNumberFormat="1" applyFont="1" applyAlignment="1">
      <alignment horizontal="left" vertical="center"/>
    </xf>
    <xf numFmtId="170" fontId="7" fillId="0" borderId="0" xfId="0" applyNumberFormat="1" applyFont="1" applyAlignment="1">
      <alignment horizontal="center" vertical="center"/>
    </xf>
    <xf numFmtId="186" fontId="11" fillId="0" borderId="0" xfId="0" applyNumberFormat="1" applyFont="1" applyAlignment="1">
      <alignment horizontal="left" vertical="center" wrapText="1"/>
    </xf>
    <xf numFmtId="186" fontId="7" fillId="0" borderId="0" xfId="0" applyNumberFormat="1" applyFont="1" applyAlignment="1">
      <alignment horizontal="center" vertical="center"/>
    </xf>
    <xf numFmtId="186" fontId="6" fillId="0" borderId="0" xfId="0" applyNumberFormat="1" applyFont="1" applyAlignment="1">
      <alignment vertical="center" wrapText="1"/>
    </xf>
    <xf numFmtId="186" fontId="6" fillId="0" borderId="0" xfId="0" applyNumberFormat="1" applyFont="1" applyAlignment="1">
      <alignment horizontal="center" vertical="center" wrapText="1"/>
    </xf>
    <xf numFmtId="186" fontId="7" fillId="0" borderId="0" xfId="0" applyNumberFormat="1" applyFont="1" applyAlignment="1">
      <alignment horizontal="center" vertical="center" wrapText="1"/>
    </xf>
    <xf numFmtId="186" fontId="7" fillId="0" borderId="0" xfId="0" applyNumberFormat="1" applyFont="1"/>
    <xf numFmtId="0" fontId="17" fillId="0" borderId="0" xfId="0" applyFont="1" applyAlignment="1">
      <alignment horizontal="center" vertical="center"/>
    </xf>
    <xf numFmtId="0" fontId="32" fillId="13" borderId="1" xfId="0" applyFont="1" applyFill="1" applyBorder="1" applyAlignment="1">
      <alignment vertical="center"/>
    </xf>
    <xf numFmtId="3" fontId="32" fillId="13" borderId="1" xfId="0" applyNumberFormat="1" applyFont="1" applyFill="1" applyBorder="1" applyAlignment="1">
      <alignment vertical="center"/>
    </xf>
    <xf numFmtId="0" fontId="33" fillId="0" borderId="0" xfId="0" applyFont="1" applyAlignment="1">
      <alignment vertical="center"/>
    </xf>
    <xf numFmtId="3" fontId="33" fillId="0" borderId="0" xfId="0" applyNumberFormat="1" applyFont="1" applyAlignment="1">
      <alignment vertical="center"/>
    </xf>
    <xf numFmtId="165" fontId="33" fillId="0" borderId="0" xfId="0" applyNumberFormat="1" applyFont="1" applyAlignment="1">
      <alignment vertical="center"/>
    </xf>
    <xf numFmtId="0" fontId="33" fillId="0" borderId="1" xfId="0" applyFont="1" applyBorder="1" applyAlignment="1">
      <alignment vertical="center"/>
    </xf>
    <xf numFmtId="165" fontId="33" fillId="0" borderId="1" xfId="0" applyNumberFormat="1" applyFont="1" applyBorder="1" applyAlignment="1">
      <alignment vertical="center"/>
    </xf>
    <xf numFmtId="0" fontId="33" fillId="0" borderId="10" xfId="0" applyFont="1" applyBorder="1" applyAlignment="1">
      <alignment vertical="center"/>
    </xf>
    <xf numFmtId="9" fontId="33" fillId="0" borderId="10" xfId="0" applyNumberFormat="1" applyFont="1" applyBorder="1" applyAlignment="1">
      <alignment vertical="center"/>
    </xf>
    <xf numFmtId="165" fontId="33" fillId="0" borderId="10" xfId="0" applyNumberFormat="1" applyFont="1" applyBorder="1" applyAlignment="1">
      <alignment vertical="center"/>
    </xf>
    <xf numFmtId="170" fontId="4" fillId="10" borderId="1" xfId="0" applyNumberFormat="1" applyFont="1" applyFill="1" applyBorder="1" applyAlignment="1">
      <alignment vertical="center"/>
    </xf>
    <xf numFmtId="170" fontId="4" fillId="0" borderId="0" xfId="0" applyNumberFormat="1" applyFont="1" applyAlignment="1">
      <alignment horizontal="right" vertical="center"/>
    </xf>
    <xf numFmtId="170" fontId="5" fillId="9" borderId="0" xfId="0" applyNumberFormat="1" applyFont="1" applyFill="1" applyAlignment="1">
      <alignment horizontal="right" vertical="center"/>
    </xf>
    <xf numFmtId="170" fontId="5" fillId="0" borderId="0" xfId="0" applyNumberFormat="1" applyFont="1" applyAlignment="1">
      <alignment horizontal="right" vertical="center"/>
    </xf>
    <xf numFmtId="170" fontId="6" fillId="0" borderId="0" xfId="0" applyNumberFormat="1" applyFont="1" applyAlignment="1">
      <alignment horizontal="right" vertical="center"/>
    </xf>
    <xf numFmtId="170" fontId="6" fillId="0" borderId="1" xfId="0" applyNumberFormat="1" applyFont="1" applyBorder="1" applyAlignment="1">
      <alignment horizontal="right" vertical="center"/>
    </xf>
    <xf numFmtId="186" fontId="4" fillId="10" borderId="1" xfId="1" applyNumberFormat="1" applyFont="1" applyFill="1" applyBorder="1" applyAlignment="1">
      <alignment vertical="center"/>
    </xf>
    <xf numFmtId="186" fontId="5" fillId="9" borderId="0" xfId="1" applyNumberFormat="1" applyFont="1" applyFill="1" applyBorder="1" applyAlignment="1">
      <alignment horizontal="right" vertical="center"/>
    </xf>
    <xf numFmtId="0" fontId="34" fillId="0" borderId="0" xfId="0" applyFont="1" applyAlignment="1">
      <alignment horizontal="center" vertical="center"/>
    </xf>
    <xf numFmtId="0" fontId="34" fillId="0" borderId="0" xfId="0" applyFont="1" applyAlignment="1">
      <alignment horizontal="left" vertical="center"/>
    </xf>
    <xf numFmtId="0" fontId="34" fillId="0" borderId="0" xfId="0" applyFont="1" applyAlignment="1">
      <alignment horizontal="right" vertical="center"/>
    </xf>
    <xf numFmtId="164" fontId="34" fillId="0" borderId="0" xfId="0" applyNumberFormat="1" applyFont="1" applyAlignment="1">
      <alignment horizontal="right" vertical="center"/>
    </xf>
    <xf numFmtId="166" fontId="34" fillId="0" borderId="0" xfId="0" applyNumberFormat="1" applyFont="1" applyAlignment="1">
      <alignment horizontal="left" vertical="center"/>
    </xf>
    <xf numFmtId="3" fontId="34" fillId="0" borderId="0" xfId="0" applyNumberFormat="1" applyFont="1" applyAlignment="1">
      <alignment horizontal="right" vertical="center"/>
    </xf>
    <xf numFmtId="170" fontId="34" fillId="0" borderId="0" xfId="0" applyNumberFormat="1" applyFont="1" applyAlignment="1">
      <alignment horizontal="right" vertical="center"/>
    </xf>
    <xf numFmtId="3" fontId="34" fillId="0" borderId="0" xfId="1" applyNumberFormat="1" applyFont="1" applyAlignment="1">
      <alignment horizontal="right" vertical="center"/>
    </xf>
    <xf numFmtId="169" fontId="34" fillId="0" borderId="0" xfId="1" applyNumberFormat="1" applyFont="1" applyAlignment="1">
      <alignment horizontal="right" vertical="center"/>
    </xf>
    <xf numFmtId="186" fontId="34" fillId="0" borderId="0" xfId="1" applyNumberFormat="1" applyFont="1" applyAlignment="1">
      <alignment horizontal="right" vertical="center"/>
    </xf>
    <xf numFmtId="166" fontId="34" fillId="0" borderId="0" xfId="0" applyNumberFormat="1" applyFont="1" applyAlignment="1">
      <alignment horizontal="right" vertical="center"/>
    </xf>
    <xf numFmtId="0" fontId="15" fillId="0" borderId="0" xfId="0" applyFont="1"/>
    <xf numFmtId="0" fontId="15" fillId="6" borderId="5" xfId="0" applyFont="1" applyFill="1" applyBorder="1"/>
    <xf numFmtId="8" fontId="15" fillId="6" borderId="6" xfId="0" applyNumberFormat="1" applyFont="1" applyFill="1" applyBorder="1"/>
    <xf numFmtId="186" fontId="0" fillId="0" borderId="0" xfId="0" applyNumberFormat="1" applyAlignment="1">
      <alignment horizontal="left" vertical="center"/>
    </xf>
    <xf numFmtId="0" fontId="14" fillId="0" borderId="0" xfId="0" applyFont="1" applyFill="1" applyAlignment="1">
      <alignment horizontal="left" vertical="center"/>
    </xf>
    <xf numFmtId="0" fontId="4" fillId="6" borderId="1" xfId="0" applyFont="1" applyFill="1" applyBorder="1" applyAlignment="1">
      <alignment horizontal="right" vertical="center"/>
    </xf>
    <xf numFmtId="0" fontId="15" fillId="0" borderId="0" xfId="0" applyFont="1" applyAlignment="1">
      <alignment horizontal="left" vertical="center"/>
    </xf>
    <xf numFmtId="0" fontId="15" fillId="0" borderId="0" xfId="0" applyFont="1" applyAlignment="1">
      <alignment horizontal="right" vertical="center"/>
    </xf>
    <xf numFmtId="170" fontId="11" fillId="0" borderId="0" xfId="3" applyNumberFormat="1" applyFont="1" applyAlignment="1">
      <alignment horizontal="left" vertical="center" wrapText="1"/>
    </xf>
    <xf numFmtId="170" fontId="7" fillId="0" borderId="0" xfId="3" applyNumberFormat="1" applyFont="1" applyFill="1" applyBorder="1" applyAlignment="1">
      <alignment horizontal="center" vertical="center" wrapText="1"/>
    </xf>
    <xf numFmtId="170" fontId="7" fillId="0" borderId="0" xfId="0" applyNumberFormat="1" applyFont="1" applyFill="1" applyAlignment="1">
      <alignment horizontal="center" vertical="center" wrapText="1"/>
    </xf>
    <xf numFmtId="0" fontId="0" fillId="0" borderId="0" xfId="0" applyFill="1" applyAlignment="1">
      <alignment horizontal="left" vertical="center"/>
    </xf>
    <xf numFmtId="3" fontId="14" fillId="0" borderId="0" xfId="0" applyNumberFormat="1" applyFont="1" applyFill="1" applyAlignment="1">
      <alignment horizontal="left" vertical="center"/>
    </xf>
    <xf numFmtId="1" fontId="36" fillId="0" borderId="0" xfId="0" applyNumberFormat="1" applyFont="1" applyAlignment="1">
      <alignment horizontal="left" vertical="center"/>
    </xf>
    <xf numFmtId="170" fontId="0" fillId="0" borderId="0" xfId="0" applyNumberFormat="1" applyFill="1" applyAlignment="1">
      <alignment horizontal="left" vertical="center"/>
    </xf>
    <xf numFmtId="170" fontId="6" fillId="5" borderId="0" xfId="1" applyNumberFormat="1" applyFont="1" applyFill="1" applyAlignment="1">
      <alignment horizontal="right" vertical="center"/>
    </xf>
    <xf numFmtId="166" fontId="7" fillId="0" borderId="0" xfId="0" applyNumberFormat="1" applyFont="1" applyAlignment="1">
      <alignment horizontal="left" vertical="center"/>
    </xf>
    <xf numFmtId="187" fontId="0" fillId="0" borderId="0" xfId="1" applyNumberFormat="1" applyFont="1" applyAlignment="1">
      <alignment horizontal="left" vertical="center"/>
    </xf>
    <xf numFmtId="3" fontId="0" fillId="0" borderId="0" xfId="1" applyNumberFormat="1" applyFont="1" applyAlignment="1">
      <alignment horizontal="left" vertical="center"/>
    </xf>
    <xf numFmtId="188" fontId="0" fillId="0" borderId="0" xfId="0" applyNumberFormat="1" applyAlignment="1">
      <alignment horizontal="left" vertical="center"/>
    </xf>
    <xf numFmtId="0" fontId="6" fillId="4" borderId="0" xfId="0" applyFont="1" applyFill="1" applyAlignment="1">
      <alignment horizontal="center" vertical="center" wrapText="1"/>
    </xf>
    <xf numFmtId="166" fontId="6" fillId="0" borderId="0" xfId="0" applyNumberFormat="1" applyFont="1" applyAlignment="1">
      <alignment horizontal="center" vertical="center"/>
    </xf>
    <xf numFmtId="170" fontId="6" fillId="0" borderId="0" xfId="3" applyNumberFormat="1" applyFont="1" applyBorder="1" applyAlignment="1">
      <alignment horizontal="center" vertical="center" wrapText="1"/>
    </xf>
    <xf numFmtId="170" fontId="6" fillId="0" borderId="0" xfId="0" applyNumberFormat="1" applyFont="1" applyAlignment="1">
      <alignment horizontal="center"/>
    </xf>
    <xf numFmtId="0" fontId="6" fillId="0" borderId="0" xfId="0" applyFont="1"/>
    <xf numFmtId="0" fontId="7" fillId="0" borderId="0" xfId="0" applyFont="1" applyAlignment="1">
      <alignment vertical="center" wrapText="1"/>
    </xf>
    <xf numFmtId="0" fontId="7" fillId="0" borderId="0" xfId="0" applyFont="1" applyAlignment="1">
      <alignment horizontal="justify" vertical="center" wrapText="1"/>
    </xf>
    <xf numFmtId="0" fontId="15" fillId="6" borderId="1" xfId="0" applyFont="1" applyFill="1" applyBorder="1" applyAlignment="1">
      <alignment horizontal="center" vertical="center"/>
    </xf>
    <xf numFmtId="0" fontId="15" fillId="4" borderId="1" xfId="0" applyFont="1" applyFill="1" applyBorder="1" applyAlignment="1">
      <alignment horizontal="center" vertical="center" wrapText="1"/>
    </xf>
    <xf numFmtId="169" fontId="7" fillId="0" borderId="0" xfId="3" applyNumberFormat="1" applyFont="1" applyFill="1" applyBorder="1" applyAlignment="1">
      <alignment horizontal="center" vertical="center" wrapText="1"/>
    </xf>
    <xf numFmtId="0" fontId="6" fillId="0" borderId="0" xfId="0" applyFont="1" applyFill="1" applyAlignment="1">
      <alignment horizontal="right" vertical="center"/>
    </xf>
    <xf numFmtId="3" fontId="6" fillId="0" borderId="0" xfId="0" applyNumberFormat="1" applyFont="1" applyFill="1" applyAlignment="1">
      <alignment horizontal="right" vertical="center"/>
    </xf>
    <xf numFmtId="0" fontId="34" fillId="0" borderId="0" xfId="0" applyFont="1" applyFill="1" applyAlignment="1">
      <alignment horizontal="right" vertical="center"/>
    </xf>
    <xf numFmtId="3" fontId="34" fillId="0" borderId="0" xfId="0" applyNumberFormat="1" applyFont="1" applyFill="1" applyAlignment="1">
      <alignment horizontal="right" vertical="center"/>
    </xf>
    <xf numFmtId="0" fontId="8" fillId="0" borderId="0" xfId="0" applyFont="1" applyAlignment="1">
      <alignment vertical="center"/>
    </xf>
    <xf numFmtId="0" fontId="7" fillId="0" borderId="0" xfId="0" applyFont="1" applyAlignment="1">
      <alignment vertical="center"/>
    </xf>
    <xf numFmtId="0" fontId="2" fillId="0" borderId="0" xfId="4" applyFill="1" applyAlignment="1">
      <alignment vertical="center"/>
    </xf>
    <xf numFmtId="0" fontId="12" fillId="0" borderId="0" xfId="0" applyFont="1" applyAlignment="1">
      <alignment vertical="center"/>
    </xf>
    <xf numFmtId="0" fontId="3" fillId="0" borderId="0" xfId="5" applyFill="1" applyAlignment="1">
      <alignment vertical="center"/>
    </xf>
    <xf numFmtId="165" fontId="7" fillId="0" borderId="0" xfId="0" applyNumberFormat="1" applyFont="1" applyAlignment="1">
      <alignment vertical="center"/>
    </xf>
    <xf numFmtId="170" fontId="7" fillId="0" borderId="0" xfId="3" applyNumberFormat="1" applyFont="1" applyAlignment="1">
      <alignment vertical="center"/>
    </xf>
    <xf numFmtId="166" fontId="8" fillId="6" borderId="0" xfId="0" applyNumberFormat="1" applyFont="1" applyFill="1" applyAlignment="1">
      <alignment horizontal="center" vertical="center"/>
    </xf>
    <xf numFmtId="165" fontId="8" fillId="0" borderId="0" xfId="0" applyNumberFormat="1" applyFont="1" applyAlignment="1">
      <alignment vertical="center"/>
    </xf>
    <xf numFmtId="0" fontId="22" fillId="0" borderId="7" xfId="0" applyFont="1" applyBorder="1" applyAlignment="1">
      <alignment horizontal="center" vertical="center" wrapText="1"/>
    </xf>
    <xf numFmtId="0" fontId="22" fillId="0" borderId="0" xfId="0" applyFont="1" applyAlignment="1">
      <alignment horizontal="center" vertical="center" wrapText="1"/>
    </xf>
    <xf numFmtId="0" fontId="22" fillId="0" borderId="8" xfId="0" applyFont="1" applyBorder="1" applyAlignment="1">
      <alignment horizontal="center" vertical="center" wrapText="1"/>
    </xf>
    <xf numFmtId="0" fontId="11" fillId="0" borderId="0" xfId="0" applyFont="1" applyAlignment="1">
      <alignment horizontal="left" vertical="center" wrapText="1"/>
    </xf>
    <xf numFmtId="0" fontId="9" fillId="0" borderId="0" xfId="0" applyFont="1" applyAlignment="1">
      <alignment horizontal="center" vertical="center" wrapText="1"/>
    </xf>
    <xf numFmtId="0" fontId="9" fillId="4" borderId="0" xfId="0" applyFont="1" applyFill="1" applyAlignment="1">
      <alignment vertical="center" wrapText="1"/>
    </xf>
    <xf numFmtId="0" fontId="19" fillId="0" borderId="5" xfId="0" applyFont="1" applyBorder="1" applyAlignment="1">
      <alignment horizontal="center" vertical="center"/>
    </xf>
    <xf numFmtId="0" fontId="19" fillId="0" borderId="1" xfId="0" applyFont="1" applyBorder="1" applyAlignment="1">
      <alignment horizontal="center" vertical="center"/>
    </xf>
    <xf numFmtId="0" fontId="7" fillId="0" borderId="0" xfId="0" applyFont="1" applyAlignment="1">
      <alignment vertical="center" wrapText="1"/>
    </xf>
    <xf numFmtId="0" fontId="7" fillId="0" borderId="0" xfId="0" applyFont="1" applyAlignment="1">
      <alignment horizontal="justify" vertical="center" wrapText="1"/>
    </xf>
    <xf numFmtId="0" fontId="19" fillId="8" borderId="2" xfId="0" applyFont="1" applyFill="1" applyBorder="1" applyAlignment="1">
      <alignment horizontal="center" vertical="center"/>
    </xf>
    <xf numFmtId="0" fontId="19" fillId="8" borderId="3" xfId="0" applyFont="1" applyFill="1" applyBorder="1" applyAlignment="1">
      <alignment horizontal="center" vertical="center"/>
    </xf>
    <xf numFmtId="0" fontId="19" fillId="8" borderId="4" xfId="0" applyFont="1" applyFill="1" applyBorder="1" applyAlignment="1">
      <alignment horizontal="center" vertical="center"/>
    </xf>
    <xf numFmtId="0" fontId="19" fillId="8" borderId="5" xfId="0" applyFont="1" applyFill="1" applyBorder="1" applyAlignment="1">
      <alignment horizontal="center" vertical="center"/>
    </xf>
    <xf numFmtId="0" fontId="19" fillId="8" borderId="1" xfId="0" applyFont="1" applyFill="1" applyBorder="1" applyAlignment="1">
      <alignment horizontal="center" vertical="center"/>
    </xf>
    <xf numFmtId="0" fontId="19" fillId="8" borderId="6" xfId="0" applyFont="1" applyFill="1" applyBorder="1" applyAlignment="1">
      <alignment horizontal="center" vertical="center"/>
    </xf>
    <xf numFmtId="0" fontId="15" fillId="4" borderId="0" xfId="0" applyFont="1" applyFill="1" applyAlignment="1">
      <alignment vertical="center" wrapText="1"/>
    </xf>
    <xf numFmtId="0" fontId="22" fillId="11" borderId="2" xfId="0" applyFont="1" applyFill="1" applyBorder="1" applyAlignment="1">
      <alignment horizontal="center" vertical="center" wrapText="1"/>
    </xf>
    <xf numFmtId="0" fontId="22" fillId="11" borderId="3" xfId="0" applyFont="1" applyFill="1" applyBorder="1" applyAlignment="1">
      <alignment horizontal="center" vertical="center" wrapText="1"/>
    </xf>
    <xf numFmtId="0" fontId="22" fillId="11" borderId="4" xfId="0" applyFont="1" applyFill="1" applyBorder="1" applyAlignment="1">
      <alignment horizontal="center" vertical="center" wrapText="1"/>
    </xf>
    <xf numFmtId="0" fontId="22" fillId="11" borderId="5"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2" fillId="11" borderId="6" xfId="0" applyFont="1" applyFill="1" applyBorder="1" applyAlignment="1">
      <alignment horizontal="center" vertical="center" wrapText="1"/>
    </xf>
    <xf numFmtId="0" fontId="22" fillId="0" borderId="5" xfId="0" applyFont="1" applyBorder="1" applyAlignment="1">
      <alignment horizontal="center" vertical="center" wrapText="1"/>
    </xf>
    <xf numFmtId="0" fontId="22" fillId="0" borderId="1" xfId="0" applyFont="1" applyBorder="1" applyAlignment="1">
      <alignment horizontal="center" vertical="center" wrapText="1"/>
    </xf>
    <xf numFmtId="0" fontId="15" fillId="4" borderId="1" xfId="0" applyFont="1" applyFill="1" applyBorder="1" applyAlignment="1">
      <alignment horizontal="center" vertical="center" wrapText="1"/>
    </xf>
    <xf numFmtId="0" fontId="15" fillId="6" borderId="1" xfId="0" applyFont="1" applyFill="1" applyBorder="1" applyAlignment="1">
      <alignment horizontal="center" vertical="center"/>
    </xf>
    <xf numFmtId="0" fontId="15" fillId="4" borderId="11"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9" xfId="0" applyFont="1" applyFill="1" applyBorder="1" applyAlignment="1">
      <alignment horizontal="center" vertical="center"/>
    </xf>
    <xf numFmtId="0" fontId="15" fillId="6" borderId="1" xfId="0" applyFont="1" applyFill="1" applyBorder="1" applyAlignment="1">
      <alignment horizontal="center" vertical="center" wrapText="1"/>
    </xf>
    <xf numFmtId="0" fontId="15" fillId="6" borderId="0" xfId="0" applyFont="1" applyFill="1" applyAlignment="1">
      <alignment vertical="center" wrapText="1"/>
    </xf>
    <xf numFmtId="0" fontId="14" fillId="0" borderId="3" xfId="0" applyFont="1" applyBorder="1" applyAlignment="1">
      <alignment horizontal="center" vertical="center"/>
    </xf>
    <xf numFmtId="0" fontId="14" fillId="0" borderId="1" xfId="0" applyFont="1" applyBorder="1" applyAlignment="1">
      <alignment horizontal="center" vertical="center"/>
    </xf>
    <xf numFmtId="14" fontId="14" fillId="0" borderId="3" xfId="0" applyNumberFormat="1" applyFont="1" applyBorder="1" applyAlignment="1">
      <alignment horizontal="center" vertical="center"/>
    </xf>
    <xf numFmtId="165" fontId="14" fillId="0" borderId="3" xfId="2" applyNumberFormat="1" applyFont="1" applyBorder="1" applyAlignment="1">
      <alignment horizontal="right" vertical="center"/>
    </xf>
    <xf numFmtId="165" fontId="14" fillId="0" borderId="1" xfId="2" applyNumberFormat="1" applyFont="1" applyBorder="1" applyAlignment="1">
      <alignment horizontal="right" vertical="center"/>
    </xf>
    <xf numFmtId="3" fontId="14" fillId="0" borderId="3" xfId="1" applyNumberFormat="1" applyFont="1" applyBorder="1" applyAlignment="1">
      <alignment horizontal="right" vertical="center"/>
    </xf>
    <xf numFmtId="3" fontId="14" fillId="0" borderId="1" xfId="1" applyNumberFormat="1" applyFont="1" applyBorder="1" applyAlignment="1">
      <alignment horizontal="right" vertical="center"/>
    </xf>
    <xf numFmtId="8" fontId="14" fillId="0" borderId="3" xfId="0" applyNumberFormat="1" applyFont="1" applyBorder="1" applyAlignment="1">
      <alignment horizontal="right" vertical="center"/>
    </xf>
    <xf numFmtId="8" fontId="14" fillId="0" borderId="1" xfId="0" applyNumberFormat="1" applyFont="1" applyBorder="1" applyAlignment="1">
      <alignment horizontal="right" vertical="center"/>
    </xf>
    <xf numFmtId="0" fontId="0" fillId="0" borderId="3" xfId="0" applyBorder="1" applyAlignment="1">
      <alignment horizontal="center" vertical="center"/>
    </xf>
    <xf numFmtId="0" fontId="0" fillId="0" borderId="1" xfId="0" applyBorder="1" applyAlignment="1">
      <alignment horizontal="center" vertical="center"/>
    </xf>
    <xf numFmtId="14" fontId="0" fillId="0" borderId="3" xfId="0" applyNumberFormat="1" applyBorder="1" applyAlignment="1">
      <alignment horizontal="center" vertical="center"/>
    </xf>
    <xf numFmtId="14" fontId="0" fillId="0" borderId="1" xfId="0" applyNumberFormat="1" applyBorder="1" applyAlignment="1">
      <alignment horizontal="center" vertical="center"/>
    </xf>
    <xf numFmtId="6" fontId="0" fillId="0" borderId="3" xfId="0" applyNumberFormat="1" applyBorder="1" applyAlignment="1">
      <alignment horizontal="right" vertical="center"/>
    </xf>
    <xf numFmtId="6" fontId="0" fillId="0" borderId="1" xfId="0" applyNumberFormat="1" applyBorder="1" applyAlignment="1">
      <alignment horizontal="right" vertical="center"/>
    </xf>
    <xf numFmtId="3" fontId="0" fillId="0" borderId="3" xfId="0" applyNumberFormat="1" applyBorder="1" applyAlignment="1">
      <alignment horizontal="right" vertical="center"/>
    </xf>
    <xf numFmtId="3" fontId="0" fillId="0" borderId="1" xfId="0" applyNumberFormat="1" applyBorder="1" applyAlignment="1">
      <alignment horizontal="right" vertical="center"/>
    </xf>
    <xf numFmtId="8" fontId="0" fillId="0" borderId="3" xfId="0" applyNumberFormat="1" applyBorder="1" applyAlignment="1">
      <alignment horizontal="right" vertical="center"/>
    </xf>
    <xf numFmtId="8" fontId="0" fillId="0" borderId="1" xfId="0" applyNumberFormat="1" applyBorder="1" applyAlignment="1">
      <alignment horizontal="right" vertical="center"/>
    </xf>
    <xf numFmtId="10" fontId="0" fillId="0" borderId="3" xfId="0" applyNumberFormat="1" applyBorder="1" applyAlignment="1">
      <alignment horizontal="right" vertical="center"/>
    </xf>
    <xf numFmtId="10" fontId="0" fillId="0" borderId="1" xfId="0" applyNumberFormat="1" applyBorder="1" applyAlignment="1">
      <alignment horizontal="right" vertical="center"/>
    </xf>
    <xf numFmtId="6" fontId="14" fillId="0" borderId="3" xfId="0" applyNumberFormat="1" applyFont="1" applyBorder="1" applyAlignment="1">
      <alignment horizontal="right" vertical="center"/>
    </xf>
    <xf numFmtId="6" fontId="14" fillId="0" borderId="1" xfId="0" applyNumberFormat="1" applyFont="1" applyBorder="1" applyAlignment="1">
      <alignment horizontal="right" vertical="center"/>
    </xf>
    <xf numFmtId="10" fontId="14" fillId="0" borderId="3" xfId="3" applyNumberFormat="1" applyFont="1" applyBorder="1" applyAlignment="1">
      <alignment horizontal="right" vertical="center"/>
    </xf>
    <xf numFmtId="10" fontId="14" fillId="0" borderId="1" xfId="3" applyNumberFormat="1" applyFont="1" applyBorder="1" applyAlignment="1">
      <alignment horizontal="right" vertical="center"/>
    </xf>
    <xf numFmtId="0" fontId="16" fillId="4" borderId="1" xfId="0" applyFont="1" applyFill="1" applyBorder="1" applyAlignment="1">
      <alignment horizontal="center" vertical="center" wrapText="1"/>
    </xf>
    <xf numFmtId="0" fontId="27" fillId="0" borderId="0" xfId="0" applyFont="1" applyAlignment="1">
      <alignment vertical="center" wrapText="1"/>
    </xf>
    <xf numFmtId="0" fontId="17" fillId="0" borderId="0" xfId="0" applyFont="1" applyAlignment="1">
      <alignment vertical="center" wrapText="1"/>
    </xf>
    <xf numFmtId="0" fontId="22" fillId="11" borderId="11" xfId="0" applyFont="1" applyFill="1" applyBorder="1" applyAlignment="1">
      <alignment horizontal="center" vertical="center" wrapText="1"/>
    </xf>
    <xf numFmtId="0" fontId="22" fillId="11" borderId="9" xfId="0" applyFont="1" applyFill="1" applyBorder="1" applyAlignment="1">
      <alignment horizontal="center" vertical="center" wrapText="1"/>
    </xf>
    <xf numFmtId="0" fontId="15" fillId="4" borderId="1" xfId="0" applyFont="1" applyFill="1" applyBorder="1" applyAlignment="1">
      <alignment vertical="center" wrapText="1"/>
    </xf>
    <xf numFmtId="0" fontId="15" fillId="4" borderId="1" xfId="0" applyFont="1" applyFill="1" applyBorder="1" applyAlignment="1">
      <alignment horizontal="left" vertical="center" wrapText="1"/>
    </xf>
    <xf numFmtId="0" fontId="14" fillId="0" borderId="0" xfId="0" applyFont="1" applyAlignment="1">
      <alignment horizontal="left" vertical="center"/>
    </xf>
    <xf numFmtId="3" fontId="6" fillId="0" borderId="0" xfId="0" applyNumberFormat="1" applyFont="1" applyFill="1" applyAlignment="1">
      <alignment vertical="center" wrapText="1"/>
    </xf>
    <xf numFmtId="0" fontId="7" fillId="0" borderId="0" xfId="0" applyFont="1" applyFill="1" applyAlignment="1">
      <alignment horizontal="justify" vertical="center" wrapText="1"/>
    </xf>
  </cellXfs>
  <cellStyles count="6">
    <cellStyle name="Bad" xfId="5" builtinId="27"/>
    <cellStyle name="Comma" xfId="1" builtinId="3"/>
    <cellStyle name="Currency" xfId="2" builtinId="4"/>
    <cellStyle name="Good" xfId="4" builtinId="26"/>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DB5ABEF-CA52-4AC6-8FDF-55F589FBFCBB}" mc:Ignorable="x14ac xr xr2 xr3">
  <x:sheetPr>
    <x:tabColor theme="4" tint="-0.499984740745262"/>
  </x:sheetPr>
  <x:dimension ref="B2:E60"/>
  <x:sheetViews>
    <x:sheetView tabSelected="1" workbookViewId="0"/>
  </x:sheetViews>
  <x:sheetFormatPr defaultRowHeight="15" x14ac:dyDescent="0.25"/>
  <x:cols>
    <x:col min="1" max="1" width="9.140625" style="241"/>
    <x:col min="2" max="2" width="25.7109375" style="241" bestFit="1" customWidth="1"/>
    <x:col min="3" max="3" width="9.140625" style="241"/>
    <x:col min="4" max="4" width="32.42578125" style="241" bestFit="1" customWidth="1"/>
    <x:col min="5" max="5" width="14.5703125" style="241" customWidth="1"/>
    <x:col min="6" max="16384" width="9.140625" style="241"/>
  </x:cols>
  <x:sheetData>
    <x:row r="2" spans="2:4" x14ac:dyDescent="0.25">
      <x:c r="B2" s="241" t="s">
        <x:v>188</x:v>
      </x:c>
      <x:c r="D2" s="241">
        <x:v>22061</x:v>
      </x:c>
    </x:row>
    <x:row r="3" spans="2:4" x14ac:dyDescent="0.25">
      <x:c r="B3" s="241" t="s">
        <x:v>275</x:v>
      </x:c>
      <x:c r="D3" s="241" t="s">
        <x:v>273</x:v>
      </x:c>
    </x:row>
    <x:row r="4" spans="2:4" x14ac:dyDescent="0.25">
      <x:c r="B4" s="241" t="s">
        <x:v>276</x:v>
      </x:c>
      <x:c r="D4" s="241" t="s">
        <x:v>274</x:v>
      </x:c>
    </x:row>
    <x:row r="5" spans="2:4" x14ac:dyDescent="0.25">
      <x:c r="B5" s="241" t="s">
        <x:v>158</x:v>
      </x:c>
      <x:c r="D5" s="241" t="s">
        <x:v>262</x:v>
      </x:c>
    </x:row>
    <x:row r="6" spans="2:4" x14ac:dyDescent="0.25">
      <x:c r="D6" s="241" t="s">
        <x:v>263</x:v>
      </x:c>
    </x:row>
    <x:row r="7" spans="2:4" x14ac:dyDescent="0.25">
      <x:c r="B7" s="241" t="s">
        <x:v>221</x:v>
      </x:c>
      <x:c r="D7" s="241">
        <x:v>28217</x:v>
      </x:c>
    </x:row>
    <x:row r="8" spans="2:4" x14ac:dyDescent="0.25">
      <x:c r="B8" s="241" t="s">
        <x:v>189</x:v>
      </x:c>
      <x:c r="D8" s="241" t="s">
        <x:v>264</x:v>
      </x:c>
    </x:row>
    <x:row r="9" spans="2:4" x14ac:dyDescent="0.25">
      <x:c r="B9" s="241" t="s">
        <x:v>205</x:v>
      </x:c>
      <x:c r="D9" s="241" t="s">
        <x:v>265</x:v>
      </x:c>
    </x:row>
    <x:row r="11" spans="2:4" x14ac:dyDescent="0.25">
      <x:c r="B11" s="241" t="s">
        <x:v>190</x:v>
      </x:c>
      <x:c r="D11" s="241" t="s">
        <x:v>266</x:v>
      </x:c>
    </x:row>
    <x:row r="12" spans="2:4" x14ac:dyDescent="0.25">
      <x:c r="B12" s="241" t="s">
        <x:v>191</x:v>
      </x:c>
      <x:c r="D12" s="376">
        <x:v>44153</x:v>
      </x:c>
    </x:row>
    <x:row r="13" spans="2:4" x14ac:dyDescent="0.25">
      <x:c r="B13" s="241" t="s">
        <x:v>192</x:v>
      </x:c>
      <x:c r="D13" s="377">
        <x:v>1360000</x:v>
      </x:c>
    </x:row>
    <x:row r="14" spans="2:4" x14ac:dyDescent="0.25">
      <x:c r="B14" s="241" t="s">
        <x:v>279</x:v>
      </x:c>
      <x:c r="D14" s="377">
        <x:v>884000</x:v>
      </x:c>
    </x:row>
    <x:row r="15" spans="2:4" x14ac:dyDescent="0.25">
      <x:c r="B15" s="241" t="s">
        <x:v>280</x:v>
      </x:c>
      <x:c r="D15" s="377" t="s">
        <x:v>281</x:v>
      </x:c>
    </x:row>
    <x:row r="16" spans="2:4" x14ac:dyDescent="0.25">
      <x:c r="B16" s="241" t="s">
        <x:v>267</x:v>
      </x:c>
      <x:c r="D16" s="377" t="s">
        <x:v>268</x:v>
      </x:c>
    </x:row>
    <x:row r="17" spans="2:5" x14ac:dyDescent="0.25">
      <x:c r="B17" s="241" t="s">
        <x:v>193</x:v>
      </x:c>
      <x:c r="D17" s="241" t="s">
        <x:v>269</x:v>
      </x:c>
    </x:row>
    <x:row r="19" spans="2:5" x14ac:dyDescent="0.25">
      <x:c r="B19" s="241" t="s">
        <x:v>194</x:v>
      </x:c>
      <x:c r="D19" s="378">
        <x:v>2.59</x:v>
      </x:c>
    </x:row>
    <x:row r="20" spans="2:5" x14ac:dyDescent="0.25">
      <x:c r="D20" s="379">
        <x:f>D19*43560</x:f>
        <x:v>112820.4</x:v>
      </x:c>
      <x:c r="E20" s="379"/>
    </x:row>
    <x:row r="21" spans="2:5" x14ac:dyDescent="0.25">
      <x:c r="B21" s="241" t="s">
        <x:v>330</x:v>
      </x:c>
      <x:c r="D21" s="466">
        <x:v>265.77</x:v>
      </x:c>
      <x:c r="E21" s="379"/>
    </x:row>
    <x:row r="22" spans="2:5" x14ac:dyDescent="0.25">
      <x:c r="B22" s="241" t="s">
        <x:v>195</x:v>
      </x:c>
      <x:c r="D22" s="241" t="s">
        <x:v>242</x:v>
      </x:c>
    </x:row>
    <x:row r="23" spans="2:5" s="554" customFormat="1" x14ac:dyDescent="0.25">
      <x:c r="B23" s="554" t="s">
        <x:v>145</x:v>
      </x:c>
      <x:c r="D23" s="554" t="s">
        <x:v>30</x:v>
      </x:c>
    </x:row>
    <x:row r="24" spans="2:5" s="554" customFormat="1" x14ac:dyDescent="0.25">
      <x:c r="B24" s="554" t="s">
        <x:v>196</x:v>
      </x:c>
      <x:c r="D24" s="554" t="s">
        <x:v>329</x:v>
      </x:c>
    </x:row>
    <x:row r="25" spans="2:5" x14ac:dyDescent="0.25">
      <x:c r="B25" s="241" t="s">
        <x:v>197</x:v>
      </x:c>
      <x:c r="D25" s="241" t="s">
        <x:v>325</x:v>
      </x:c>
    </x:row>
    <x:row r="26" spans="2:5" x14ac:dyDescent="0.25">
      <x:c r="D26" s="241" t="s">
        <x:v>326</x:v>
      </x:c>
    </x:row>
    <x:row r="27" spans="2:5" x14ac:dyDescent="0.25">
      <x:c r="B27" s="241" t="s">
        <x:v>206</x:v>
      </x:c>
      <x:c r="D27" s="241" t="s">
        <x:v>327</x:v>
      </x:c>
    </x:row>
    <x:row r="28" spans="2:5" x14ac:dyDescent="0.25">
      <x:c r="B28" s="241" t="s">
        <x:v>198</x:v>
      </x:c>
      <x:c r="D28" s="241" t="s">
        <x:v>203</x:v>
      </x:c>
    </x:row>
    <x:row r="30" spans="2:5" x14ac:dyDescent="0.25">
      <x:c r="B30" s="241" t="s">
        <x:v>208</x:v>
      </x:c>
      <x:c r="D30" s="241" t="s">
        <x:v>209</x:v>
      </x:c>
    </x:row>
    <x:row r="31" spans="2:5" x14ac:dyDescent="0.25">
      <x:c r="B31" s="241" t="s">
        <x:v>210</x:v>
      </x:c>
      <x:c r="D31" s="241" t="s">
        <x:v>222</x:v>
      </x:c>
    </x:row>
    <x:row r="32" spans="2:5" x14ac:dyDescent="0.25">
      <x:c r="B32" s="241" t="s">
        <x:v>211</x:v>
      </x:c>
      <x:c r="D32" s="241" t="s">
        <x:v>30</x:v>
      </x:c>
    </x:row>
    <x:row r="33" spans="2:5" x14ac:dyDescent="0.25">
      <x:c r="B33" s="241" t="s">
        <x:v>207</x:v>
      </x:c>
      <x:c r="D33" s="241">
        <x:v>1989</x:v>
      </x:c>
    </x:row>
    <x:row r="34" spans="2:5" x14ac:dyDescent="0.25">
      <x:c r="B34" s="241" t="s">
        <x:v>12</x:v>
      </x:c>
      <x:c r="D34" s="380">
        <x:v>16268</x:v>
      </x:c>
    </x:row>
    <x:row r="35" spans="2:5" x14ac:dyDescent="0.25">
      <x:c r="B35" s="241" t="s">
        <x:v>75</x:v>
      </x:c>
      <x:c r="D35" s="380">
        <x:v>16268</x:v>
      </x:c>
    </x:row>
    <x:row r="36" spans="2:5" x14ac:dyDescent="0.25">
      <x:c r="B36" s="241" t="s">
        <x:v>328</x:v>
      </x:c>
      <x:c r="D36" s="465">
        <x:v>57780</x:v>
      </x:c>
      <x:c r="E36" s="464"/>
    </x:row>
    <x:row r="37" spans="2:5" x14ac:dyDescent="0.25">
      <x:c r="B37" s="241" t="s">
        <x:v>223</x:v>
      </x:c>
      <x:c r="D37" s="380" t="s">
        <x:v>28</x:v>
      </x:c>
    </x:row>
    <x:row r="38" spans="2:5" x14ac:dyDescent="0.25">
      <x:c r="B38" s="241" t="s">
        <x:v>272</x:v>
      </x:c>
      <x:c r="D38" s="380">
        <x:v>1209</x:v>
      </x:c>
    </x:row>
    <x:row r="39" spans="2:5" x14ac:dyDescent="0.25">
      <x:c r="B39" s="241" t="s">
        <x:v>224</x:v>
      </x:c>
      <x:c r="D39" s="383">
        <x:f>D38/D34</x:f>
        <x:v>7.4317678878780422E-2</x:v>
      </x:c>
    </x:row>
    <x:row r="40" spans="2:5" x14ac:dyDescent="0.25">
      <x:c r="B40" s="241" t="s">
        <x:v>212</x:v>
      </x:c>
      <x:c r="D40" s="461">
        <x:f>D36/D20</x:f>
        <x:v>0.51214142123233031</x:v>
      </x:c>
    </x:row>
    <x:row r="41" spans="2:5" x14ac:dyDescent="0.25">
      <x:c r="B41" s="241" t="s">
        <x:v>229</x:v>
      </x:c>
      <x:c r="D41" s="450">
        <x:v>18</x:v>
      </x:c>
    </x:row>
    <x:row r="42" spans="2:5" x14ac:dyDescent="0.25">
      <x:c r="B42" s="241" t="s">
        <x:v>271</x:v>
      </x:c>
      <x:c r="D42" s="450">
        <x:v>21</x:v>
      </x:c>
    </x:row>
    <x:row r="43" spans="2:5" x14ac:dyDescent="0.25">
      <x:c r="B43" s="241" t="s">
        <x:v>277</x:v>
      </x:c>
      <x:c r="D43" s="450" t="s">
        <x:v>278</x:v>
      </x:c>
    </x:row>
    <x:row r="44" spans="2:5" x14ac:dyDescent="0.25">
      <x:c r="B44" s="241" t="s">
        <x:v>230</x:v>
      </x:c>
      <x:c r="D44" s="451" t="s">
        <x:v>270</x:v>
      </x:c>
    </x:row>
    <x:row r="45" spans="2:5" x14ac:dyDescent="0.25">
      <x:c r="B45" s="241" t="s">
        <x:v>232</x:v>
      </x:c>
      <x:c r="D45" s="459">
        <x:f>D34/3</x:f>
        <x:v>5422.666666666667</x:v>
      </x:c>
    </x:row>
    <x:row r="46" spans="2:5" x14ac:dyDescent="0.25">
      <x:c r="B46" s="241" t="s">
        <x:v>213</x:v>
      </x:c>
      <x:c r="D46" s="383" t="s">
        <x:v>214</x:v>
      </x:c>
    </x:row>
    <x:row r="47" spans="2:5" x14ac:dyDescent="0.25">
      <x:c r="B47" s="241" t="s">
        <x:v>16</x:v>
      </x:c>
      <x:c r="D47" s="460">
        <x:v>53</x:v>
      </x:c>
    </x:row>
    <x:row r="48" spans="2:5" x14ac:dyDescent="0.25">
      <x:c r="B48" s="241" t="s">
        <x:v>17</x:v>
      </x:c>
      <x:c r="D48" s="382">
        <x:f>D47/(D36/1000)</x:f>
        <x:v>0.91727241259951542</x:v>
      </x:c>
    </x:row>
    <x:row r="49" spans="2:4" x14ac:dyDescent="0.25">
      <x:c r="D49" s="383"/>
    </x:row>
    <x:row r="50" spans="2:4" x14ac:dyDescent="0.25">
      <x:c r="B50" s="241" t="s">
        <x:v>215</x:v>
      </x:c>
      <x:c r="D50" s="381">
        <x:f>2022-D33</x:f>
        <x:v>33</x:v>
      </x:c>
    </x:row>
    <x:row r="51" spans="2:4" x14ac:dyDescent="0.25">
      <x:c r="B51" s="241" t="s">
        <x:v>153</x:v>
      </x:c>
      <x:c r="D51" s="381">
        <x:v>10</x:v>
      </x:c>
    </x:row>
    <x:row r="52" spans="2:4" x14ac:dyDescent="0.25">
      <x:c r="B52" s="241" t="s">
        <x:v>152</x:v>
      </x:c>
      <x:c r="D52" s="381">
        <x:v>40</x:v>
      </x:c>
    </x:row>
    <x:row r="53" spans="2:4" x14ac:dyDescent="0.25">
      <x:c r="B53" s="241" t="s">
        <x:v>199</x:v>
      </x:c>
      <x:c r="D53" s="381">
        <x:f>D52-D51</x:f>
        <x:v>30</x:v>
      </x:c>
    </x:row>
    <x:row r="54" spans="2:4" x14ac:dyDescent="0.25">
      <x:c r="B54" s="241" t="s">
        <x:v>283</x:v>
      </x:c>
      <x:c r="D54" s="381" t="s">
        <x:v>30</x:v>
      </x:c>
    </x:row>
    <x:row r="55" spans="2:4" x14ac:dyDescent="0.25">
      <x:c r="B55" s="241" t="s">
        <x:v>282</x:v>
      </x:c>
      <x:c r="D55" s="382" t="s">
        <x:v>27</x:v>
      </x:c>
    </x:row>
    <x:row r="56" spans="2:4" x14ac:dyDescent="0.25">
      <x:c r="B56" s="241" t="s">
        <x:v>216</x:v>
      </x:c>
      <x:c r="D56" s="241" t="s">
        <x:v>28</x:v>
      </x:c>
    </x:row>
    <x:row r="58" spans="2:4" x14ac:dyDescent="0.25">
      <x:c r="B58" s="241" t="s">
        <x:v>202</x:v>
      </x:c>
      <x:c r="D58" s="376">
        <x:v>44747</x:v>
      </x:c>
    </x:row>
    <x:row r="59" spans="2:4" x14ac:dyDescent="0.25">
      <x:c r="B59" s="241" t="s">
        <x:v>200</x:v>
      </x:c>
      <x:c r="D59" s="458" t="s">
        <x:v>204</x:v>
      </x:c>
    </x:row>
    <x:row r="60" spans="2:4" x14ac:dyDescent="0.25">
      <x:c r="B60" s="241" t="s">
        <x:v>201</x:v>
      </x:c>
      <x:c r="D60" s="241" t="s">
        <x:v>261</x:v>
      </x:c>
    </x:row>
  </x:sheetData>
  <x:pageMargins left="0.7" right="0.7" top="0.75" bottom="0.75" header="0.3" footer="0.3"/>
  <x:pageSetup orientation="portrait" horizontalDpi="4294967293" verticalDpi="0" r:id="rId1"/>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3A27E62-CCED-4FF9-BFB0-F7A2007687BF}" mc:Ignorable="x14ac xr xr2 xr3">
  <x:sheetPr>
    <x:tabColor theme="4" tint="-0.499984740745262"/>
  </x:sheetPr>
  <x:dimension ref="A1:AG16"/>
  <x:sheetViews>
    <x:sheetView topLeftCell="J1" workbookViewId="0">
      <x:pane ySplit="1" topLeftCell="A2" activePane="bottomLeft" state="frozen"/>
      <x:selection activeCell="K72" sqref="K72"/>
      <x:selection pane="bottomLeft" activeCell="U24" sqref="U24"/>
    </x:sheetView>
  </x:sheetViews>
  <x:sheetFormatPr defaultRowHeight="12" x14ac:dyDescent="0.25"/>
  <x:cols>
    <x:col min="1" max="1" width="14.140625" style="24" customWidth="1"/>
    <x:col min="2" max="2" width="27.140625" style="25" customWidth="1"/>
    <x:col min="3" max="3" width="21.140625" style="25" customWidth="1"/>
    <x:col min="4" max="4" width="23.140625" style="25" customWidth="1"/>
    <x:col min="5" max="5" width="12" style="26" customWidth="1"/>
    <x:col min="6" max="6" width="14.7109375" style="27" customWidth="1"/>
    <x:col min="7" max="7" width="14.7109375" style="28" customWidth="1"/>
    <x:col min="8" max="8" width="9.42578125" style="29" customWidth="1"/>
    <x:col min="9" max="9" width="10" style="29" customWidth="1"/>
    <x:col min="10" max="10" width="12.85546875" style="29" customWidth="1"/>
    <x:col min="11" max="11" width="10.85546875" style="30" customWidth="1"/>
    <x:col min="12" max="12" width="9.85546875" style="29" customWidth="1"/>
    <x:col min="13" max="13" width="12.85546875" style="31" customWidth="1"/>
    <x:col min="14" max="14" width="10.7109375" style="32" customWidth="1"/>
    <x:col min="15" max="15" width="10.7109375" style="48" customWidth="1"/>
    <x:col min="16" max="16" width="10.7109375" style="403" customWidth="1"/>
    <x:col min="17" max="17" width="10.7109375" style="48" customWidth="1"/>
    <x:col min="18" max="18" width="10.7109375" style="403" customWidth="1"/>
    <x:col min="19" max="19" width="9" style="48" customWidth="1"/>
    <x:col min="20" max="22" width="11.140625" style="48" customWidth="1"/>
    <x:col min="23" max="23" width="8.7109375" style="48" customWidth="1"/>
    <x:col min="24" max="24" width="9.140625" style="48" customWidth="1"/>
    <x:col min="25" max="26" width="12.28515625" style="32" customWidth="1"/>
    <x:col min="27" max="27" width="12.28515625" style="31" customWidth="1"/>
    <x:col min="28" max="28" width="12.28515625" style="32" customWidth="1"/>
    <x:col min="29" max="29" width="14.7109375" style="28" customWidth="1"/>
    <x:col min="30" max="30" width="14.7109375" style="29" customWidth="1"/>
    <x:col min="31" max="31" width="25.7109375" style="25" customWidth="1"/>
    <x:col min="32" max="16384" width="9.140625" style="32"/>
  </x:cols>
  <x:sheetData>
    <x:row r="1" spans="1:33" s="158" customFormat="1" x14ac:dyDescent="0.25">
      <x:c r="A1" s="159" t="s">
        <x:v>0</x:v>
      </x:c>
      <x:c r="B1" s="158" t="s">
        <x:v>1</x:v>
      </x:c>
      <x:c r="C1" s="158" t="s">
        <x:v>2</x:v>
      </x:c>
      <x:c r="D1" s="158" t="s">
        <x:v>3</x:v>
      </x:c>
      <x:c r="E1" s="160" t="s">
        <x:v>4</x:v>
      </x:c>
      <x:c r="F1" s="161" t="s">
        <x:v>5</x:v>
      </x:c>
      <x:c r="G1" s="162" t="s">
        <x:v>6</x:v>
      </x:c>
      <x:c r="H1" s="163" t="s">
        <x:v>7</x:v>
      </x:c>
      <x:c r="I1" s="163" t="s">
        <x:v>8</x:v>
      </x:c>
      <x:c r="J1" s="163" t="s">
        <x:v>9</x:v>
      </x:c>
      <x:c r="K1" s="164" t="s">
        <x:v>10</x:v>
      </x:c>
      <x:c r="L1" s="163" t="s">
        <x:v>11</x:v>
      </x:c>
      <x:c r="M1" s="165" t="s">
        <x:v>12</x:v>
      </x:c>
      <x:c r="N1" s="158" t="s">
        <x:v>13</x:v>
      </x:c>
      <x:c r="O1" s="166" t="s">
        <x:v>14</x:v>
      </x:c>
      <x:c r="P1" s="398" t="s">
        <x:v>228</x:v>
      </x:c>
      <x:c r="Q1" s="166" t="s">
        <x:v>226</x:v>
      </x:c>
      <x:c r="R1" s="398" t="s">
        <x:v>227</x:v>
      </x:c>
      <x:c r="S1" s="166" t="s">
        <x:v>15</x:v>
      </x:c>
      <x:c r="T1" s="166" t="s">
        <x:v>18</x:v>
      </x:c>
      <x:c r="U1" s="166" t="s">
        <x:v>229</x:v>
      </x:c>
      <x:c r="V1" s="166" t="s">
        <x:v>282</x:v>
      </x:c>
      <x:c r="W1" s="166" t="s">
        <x:v>16</x:v>
      </x:c>
      <x:c r="X1" s="166" t="s">
        <x:v>17</x:v>
      </x:c>
      <x:c r="Y1" s="452" t="s">
        <x:v>19</x:v>
      </x:c>
      <x:c r="Z1" s="158" t="s">
        <x:v>230</x:v>
      </x:c>
      <x:c r="AA1" s="165" t="s">
        <x:v>232</x:v>
      </x:c>
      <x:c r="AB1" s="158" t="s">
        <x:v>20</x:v>
      </x:c>
      <x:c r="AC1" s="162" t="s">
        <x:v>21</x:v>
      </x:c>
      <x:c r="AD1" s="163" t="s">
        <x:v>22</x:v>
      </x:c>
      <x:c r="AE1" s="167" t="s">
        <x:v>23</x:v>
      </x:c>
      <x:c r="AF1" s="158" t="s">
        <x:v>24</x:v>
      </x:c>
      <x:c r="AG1" s="158" t="s">
        <x:v>25</x:v>
      </x:c>
    </x:row>
    <x:row r="2" spans="1:33" s="9" customFormat="1" x14ac:dyDescent="0.25">
      <x:c r="A2" s="1"/>
      <x:c r="B2" s="2"/>
      <x:c r="C2" s="2"/>
      <x:c r="D2" s="2"/>
      <x:c r="E2" s="3"/>
      <x:c r="F2" s="4"/>
      <x:c r="G2" s="5"/>
      <x:c r="H2" s="6"/>
      <x:c r="I2" s="6"/>
      <x:c r="J2" s="6"/>
      <x:c r="K2" s="7"/>
      <x:c r="L2" s="6"/>
      <x:c r="M2" s="8"/>
      <x:c r="O2" s="10"/>
      <x:c r="P2" s="399"/>
      <x:c r="Q2" s="10"/>
      <x:c r="R2" s="399"/>
      <x:c r="S2" s="10"/>
      <x:c r="T2" s="200"/>
      <x:c r="U2" s="390"/>
      <x:c r="V2" s="10"/>
      <x:c r="W2" s="10"/>
      <x:c r="X2" s="10"/>
      <x:c r="AA2" s="8"/>
      <x:c r="AC2" s="5"/>
      <x:c r="AD2" s="6"/>
      <x:c r="AE2" s="2"/>
      <x:c r="AF2" s="11"/>
    </x:row>
    <x:row r="3" spans="1:33" s="155" customFormat="1" x14ac:dyDescent="0.25">
      <x:c r="A3" s="147" t="s">
        <x:v>26</x:v>
      </x:c>
      <x:c r="B3" s="148" t="str">
        <x:f>Sheet26!D5</x:f>
        <x:v>4735 Dwight Evans Rd</x:v>
      </x:c>
      <x:c r="C3" s="148" t="str">
        <x:f>Sheet26!D6</x:f>
        <x:v>Charlotte, NC</x:v>
      </x:c>
      <x:c r="D3" s="181" t="str">
        <x:f>Sheet26!D8</x:f>
        <x:v>145-301-22</x:v>
      </x:c>
      <x:c r="E3" s="149"/>
      <x:c r="F3" s="150"/>
      <x:c r="G3" s="151"/>
      <x:c r="H3" s="152"/>
      <x:c r="I3" s="152"/>
      <x:c r="J3" s="152"/>
      <x:c r="K3" s="153"/>
      <x:c r="L3" s="152"/>
      <x:c r="M3" s="154">
        <x:f>Sheet26!D34</x:f>
        <x:v>16268</x:v>
      </x:c>
      <x:c r="N3" s="155">
        <x:f>Sheet26!D33</x:f>
        <x:v>1989</x:v>
      </x:c>
      <x:c r="O3" s="21">
        <x:f>Sheet26!D20</x:f>
        <x:v>112820.4</x:v>
      </x:c>
      <x:c r="P3" s="400">
        <x:f>Sheet26!D40</x:f>
        <x:v>0.51214142123233031</x:v>
      </x:c>
      <x:c r="Q3" s="21">
        <x:f>Sheet26!D38</x:f>
        <x:v>1209</x:v>
      </x:c>
      <x:c r="R3" s="400">
        <x:f>Sheet26!D39</x:f>
        <x:v>7.4317678878780422E-2</x:v>
      </x:c>
      <x:c r="S3" s="21" t="str">
        <x:f>Sheet26!D32</x:f>
        <x:v>Average</x:v>
      </x:c>
      <x:c r="T3" s="187">
        <x:f>Sheet26!D51</x:f>
        <x:v>10</x:v>
      </x:c>
      <x:c r="U3" s="391">
        <x:f>Sheet26!D41</x:f>
        <x:v>18</x:v>
      </x:c>
      <x:c r="V3" s="21" t="str">
        <x:f>Sheet26!D55</x:f>
        <x:v>Good</x:v>
      </x:c>
      <x:c r="W3" s="21">
        <x:f>Sheet26!D47</x:f>
        <x:v>53</x:v>
      </x:c>
      <x:c r="X3" s="156">
        <x:f>Sheet26!D48</x:f>
        <x:v>0.91727241259951542</x:v>
      </x:c>
      <x:c r="Y3" s="155" t="s">
        <x:v>240</x:v>
      </x:c>
      <x:c r="Z3" s="155" t="str">
        <x:f>Sheet26!D44</x:f>
        <x:v>0 GL/3 DH</x:v>
      </x:c>
      <x:c r="AA3" s="154">
        <x:f>Sheet26!D45</x:f>
        <x:v>5422.666666666667</x:v>
      </x:c>
      <x:c r="AB3" s="155" t="s">
        <x:v>28</x:v>
      </x:c>
      <x:c r="AC3" s="151" t="str">
        <x:f>Sheet26!D25</x:f>
        <x:v>I-2</x:v>
      </x:c>
      <x:c r="AD3" s="152"/>
      <x:c r="AE3" s="148"/>
      <x:c r="AF3" s="157">
        <x:f t="shared" ref="AF3" si="0">M3/O3</x:f>
        <x:v>0.14419378055741694</x:v>
      </x:c>
    </x:row>
    <x:row r="4" spans="1:33" s="177" customFormat="1" x14ac:dyDescent="0.25">
      <x:c r="A4" s="168"/>
      <x:c r="B4" s="169"/>
      <x:c r="C4" s="169"/>
      <x:c r="D4" s="170"/>
      <x:c r="E4" s="171"/>
      <x:c r="F4" s="172"/>
      <x:c r="G4" s="173"/>
      <x:c r="H4" s="174"/>
      <x:c r="I4" s="174"/>
      <x:c r="J4" s="174"/>
      <x:c r="K4" s="175"/>
      <x:c r="L4" s="174"/>
      <x:c r="M4" s="176"/>
      <x:c r="O4" s="178"/>
      <x:c r="P4" s="401"/>
      <x:c r="Q4" s="178"/>
      <x:c r="R4" s="401"/>
      <x:c r="S4" s="178"/>
      <x:c r="T4" s="396"/>
      <x:c r="U4" s="392"/>
      <x:c r="V4" s="178"/>
      <x:c r="W4" s="178"/>
      <x:c r="X4" s="179"/>
      <x:c r="AA4" s="176"/>
      <x:c r="AC4" s="173"/>
      <x:c r="AD4" s="174"/>
      <x:c r="AE4" s="169"/>
      <x:c r="AF4" s="180"/>
    </x:row>
    <x:row r="5" spans="1:33" s="20" customFormat="1" x14ac:dyDescent="0.25">
      <x:c r="A5" s="12"/>
      <x:c r="B5" s="13"/>
      <x:c r="C5" s="13"/>
      <x:c r="D5" s="13"/>
      <x:c r="E5" s="14"/>
      <x:c r="F5" s="15"/>
      <x:c r="G5" s="16"/>
      <x:c r="H5" s="17"/>
      <x:c r="I5" s="17"/>
      <x:c r="J5" s="17"/>
      <x:c r="K5" s="18"/>
      <x:c r="L5" s="17"/>
      <x:c r="M5" s="19"/>
      <x:c r="O5" s="21"/>
      <x:c r="P5" s="400"/>
      <x:c r="Q5" s="21"/>
      <x:c r="R5" s="400"/>
      <x:c r="S5" s="21"/>
      <x:c r="T5" s="187"/>
      <x:c r="U5" s="391"/>
      <x:c r="V5" s="21"/>
      <x:c r="W5" s="21"/>
      <x:c r="X5" s="22"/>
      <x:c r="AA5" s="19"/>
      <x:c r="AC5" s="16"/>
      <x:c r="AD5" s="17"/>
      <x:c r="AE5" s="13"/>
      <x:c r="AF5" s="23"/>
    </x:row>
    <x:row r="6" spans="1:33" x14ac:dyDescent="0.25">
      <x:c r="B6" s="25" t="s">
        <x:v>284</x:v>
      </x:c>
      <x:c r="C6" s="25" t="s">
        <x:v>263</x:v>
      </x:c>
      <x:c r="D6" s="25" t="s">
        <x:v>285</x:v>
      </x:c>
      <x:c r="E6" s="26">
        <x:v>44698</x:v>
      </x:c>
      <x:c r="F6" s="27">
        <x:v>2275000</x:v>
      </x:c>
      <x:c r="G6" s="28">
        <x:f>F6/M6</x:f>
        <x:v>115.98857958600999</x:v>
      </x:c>
      <x:c r="H6" s="29" t="s">
        <x:v>332</x:v>
      </x:c>
      <x:c r="I6" s="29" t="s">
        <x:v>331</x:v>
      </x:c>
      <x:c r="J6" s="29" t="s">
        <x:v>243</x:v>
      </x:c>
      <x:c r="K6" s="30">
        <x:v>0.5</x:v>
      </x:c>
      <x:c r="L6" s="29" t="s">
        <x:v>29</x:v>
      </x:c>
      <x:c r="M6" s="31">
        <x:v>19614</x:v>
      </x:c>
      <x:c r="N6" s="32">
        <x:v>1988</x:v>
      </x:c>
      <x:c r="O6" s="48">
        <x:v>60984</x:v>
      </x:c>
      <x:c r="P6" s="403">
        <x:f>M6/O6</x:f>
        <x:v>0.32162534435261708</x:v>
      </x:c>
      <x:c r="Q6" s="48">
        <x:v>4412</x:v>
      </x:c>
      <x:c r="R6" s="403">
        <x:f>Q6/M6</x:f>
        <x:v>0.22494136841031917</x:v>
      </x:c>
      <x:c r="S6" s="48" t="s">
        <x:v>30</x:v>
      </x:c>
      <x:c r="T6" s="397">
        <x:v>10</x:v>
      </x:c>
      <x:c r="U6" s="395">
        <x:v>20</x:v>
      </x:c>
      <x:c r="V6" s="48" t="s">
        <x:v>27</x:v>
      </x:c>
      <x:c r="W6" s="48">
        <x:v>29</x:v>
      </x:c>
      <x:c r="X6" s="34">
        <x:f>W6/(M6/1000)</x:f>
        <x:v>1.4785357397777097</x:v>
      </x:c>
      <x:c r="Y6" s="32" t="s">
        <x:v>334</x:v>
      </x:c>
      <x:c r="Z6" s="32" t="s">
        <x:v>333</x:v>
      </x:c>
      <x:c r="AA6" s="31">
        <x:f>M6/4</x:f>
        <x:v>4903.5</x:v>
      </x:c>
      <x:c r="AB6" s="32" t="s">
        <x:v>28</x:v>
      </x:c>
      <x:c r="AD6" s="29" t="s">
        <x:v>335</x:v>
      </x:c>
    </x:row>
    <x:row r="7" spans="1:33" x14ac:dyDescent="0.25">
      <x:c r="B7" s="25" t="s">
        <x:v>286</x:v>
      </x:c>
      <x:c r="C7" s="25" t="s">
        <x:v>287</x:v>
      </x:c>
      <x:c r="D7" s="25" t="s">
        <x:v>288</x:v>
      </x:c>
      <x:c r="E7" s="26">
        <x:v>44547</x:v>
      </x:c>
      <x:c r="F7" s="27">
        <x:v>1845000</x:v>
      </x:c>
      <x:c r="G7" s="28">
        <x:f>F7/M7</x:f>
        <x:v>143.69158878504672</x:v>
      </x:c>
      <x:c r="H7" s="29" t="s">
        <x:v>324</x:v>
      </x:c>
      <x:c r="I7" s="29" t="s">
        <x:v>336</x:v>
      </x:c>
      <x:c r="J7" s="29" t="s">
        <x:v>225</x:v>
      </x:c>
      <x:c r="K7" s="30" t="s">
        <x:v>234</x:v>
      </x:c>
      <x:c r="L7" s="29" t="s">
        <x:v>29</x:v>
      </x:c>
      <x:c r="M7" s="31">
        <x:v>12840</x:v>
      </x:c>
      <x:c r="N7" s="32">
        <x:v>1986</x:v>
      </x:c>
      <x:c r="O7" s="48">
        <x:v>105981</x:v>
      </x:c>
      <x:c r="P7" s="403">
        <x:f>M7/O7</x:f>
        <x:v>0.1211537917173833</x:v>
      </x:c>
      <x:c r="Q7" s="48">
        <x:v>3500</x:v>
      </x:c>
      <x:c r="R7" s="403">
        <x:f>Q7/M7</x:f>
        <x:v>0.27258566978193144</x:v>
      </x:c>
      <x:c r="S7" s="48" t="s">
        <x:v>30</x:v>
      </x:c>
      <x:c r="T7" s="397">
        <x:v>10</x:v>
      </x:c>
      <x:c r="U7" s="395">
        <x:v>18</x:v>
      </x:c>
      <x:c r="V7" s="48" t="s">
        <x:v>27</x:v>
      </x:c>
      <x:c r="W7" s="48">
        <x:v>10</x:v>
      </x:c>
      <x:c r="X7" s="34">
        <x:f>W7/(M7/1000)</x:f>
        <x:v>0.77881619937694702</x:v>
      </x:c>
      <x:c r="Y7" s="32" t="s">
        <x:v>334</x:v>
      </x:c>
      <x:c r="Z7" s="32" t="s">
        <x:v>301</x:v>
      </x:c>
      <x:c r="AA7" s="31">
        <x:f>M7/3</x:f>
        <x:v>4280</x:v>
      </x:c>
      <x:c r="AB7" s="32" t="s">
        <x:v>28</x:v>
      </x:c>
      <x:c r="AD7" s="29" t="s">
        <x:v>337</x:v>
      </x:c>
    </x:row>
    <x:row r="8" spans="1:33" x14ac:dyDescent="0.25">
      <x:c r="B8" s="25" t="s">
        <x:v>289</x:v>
      </x:c>
      <x:c r="C8" s="25" t="s">
        <x:v>290</x:v>
      </x:c>
      <x:c r="D8" s="25" t="s">
        <x:v>291</x:v>
      </x:c>
      <x:c r="E8" s="26">
        <x:v>43976</x:v>
      </x:c>
      <x:c r="F8" s="27">
        <x:v>1575000</x:v>
      </x:c>
      <x:c r="G8" s="28">
        <x:f>F8/M8</x:f>
        <x:v>103.61842105263158</x:v>
      </x:c>
      <x:c r="H8" s="29" t="s">
        <x:v>292</x:v>
      </x:c>
      <x:c r="I8" s="29" t="s">
        <x:v>293</x:v>
      </x:c>
      <x:c r="J8" s="29" t="s">
        <x:v>225</x:v>
      </x:c>
      <x:c r="K8" s="30" t="s">
        <x:v>234</x:v>
      </x:c>
      <x:c r="L8" s="29" t="s">
        <x:v>29</x:v>
      </x:c>
      <x:c r="M8" s="31">
        <x:v>15200</x:v>
      </x:c>
      <x:c r="N8" s="32">
        <x:v>2001</x:v>
      </x:c>
      <x:c r="O8" s="48">
        <x:v>60113</x:v>
      </x:c>
      <x:c r="P8" s="403">
        <x:f>M8/O8</x:f>
        <x:v>0.25285711909237601</x:v>
      </x:c>
      <x:c r="Q8" s="48">
        <x:v>4200</x:v>
      </x:c>
      <x:c r="R8" s="403">
        <x:f>Q8/M8</x:f>
        <x:v>0.27631578947368424</x:v>
      </x:c>
      <x:c r="S8" s="48" t="s">
        <x:v>30</x:v>
      </x:c>
      <x:c r="T8" s="397">
        <x:v>10</x:v>
      </x:c>
      <x:c r="U8" s="395">
        <x:v>18</x:v>
      </x:c>
      <x:c r="V8" s="48" t="s">
        <x:v>27</x:v>
      </x:c>
      <x:c r="W8" s="48">
        <x:v>33</x:v>
      </x:c>
      <x:c r="X8" s="34">
        <x:f>W8/(M8/1000)</x:f>
        <x:v>2.1710526315789473</x:v>
      </x:c>
      <x:c r="Y8" s="32" t="s">
        <x:v>334</x:v>
      </x:c>
      <x:c r="Z8" s="32" t="s">
        <x:v>233</x:v>
      </x:c>
      <x:c r="AA8" s="31">
        <x:f>M8/4</x:f>
        <x:v>3800</x:v>
      </x:c>
      <x:c r="AB8" s="32" t="s">
        <x:v>28</x:v>
      </x:c>
      <x:c r="AD8" s="29" t="s">
        <x:v>295</x:v>
      </x:c>
      <x:c r="AF8" s="23">
        <x:f t="shared" ref="AF8:AF10" si="1">M8/O8</x:f>
        <x:v>0.25285711909237601</x:v>
      </x:c>
      <x:c r="AG8" s="28">
        <x:f t="shared" ref="AG8:AG10" si="2">F8/O8</x:f>
        <x:v>26.200655432269226</x:v>
      </x:c>
    </x:row>
    <x:row r="9" spans="1:33" x14ac:dyDescent="0.25">
      <x:c r="B9" s="25" t="s">
        <x:v>296</x:v>
      </x:c>
      <x:c r="C9" s="25" t="s">
        <x:v>263</x:v>
      </x:c>
      <x:c r="D9" s="25" t="s">
        <x:v>297</x:v>
      </x:c>
      <x:c r="E9" s="26">
        <x:v>44119</x:v>
      </x:c>
      <x:c r="F9" s="27">
        <x:v>1725000</x:v>
      </x:c>
      <x:c r="G9" s="28">
        <x:f t="shared" ref="G9" si="3">F9/M9</x:f>
        <x:v>134.01180857675575</x:v>
      </x:c>
      <x:c r="H9" s="29" t="s">
        <x:v>298</x:v>
      </x:c>
      <x:c r="I9" s="29" t="s">
        <x:v>299</x:v>
      </x:c>
      <x:c r="J9" s="29" t="s">
        <x:v>225</x:v>
      </x:c>
      <x:c r="K9" s="30" t="s">
        <x:v>234</x:v>
      </x:c>
      <x:c r="L9" s="29" t="s">
        <x:v>29</x:v>
      </x:c>
      <x:c r="M9" s="31">
        <x:v>12872</x:v>
      </x:c>
      <x:c r="N9" s="32">
        <x:v>1989</x:v>
      </x:c>
      <x:c r="O9" s="33">
        <x:v>87120</x:v>
      </x:c>
      <x:c r="P9" s="403">
        <x:f t="shared" ref="P9" si="4">M9/O9</x:f>
        <x:v>0.14775022956841138</x:v>
      </x:c>
      <x:c r="Q9" s="33">
        <x:v>3988</x:v>
      </x:c>
      <x:c r="R9" s="403">
        <x:f t="shared" ref="R9" si="5">Q9/M9</x:f>
        <x:v>0.30981976382846488</x:v>
      </x:c>
      <x:c r="S9" s="33" t="s">
        <x:v>30</x:v>
      </x:c>
      <x:c r="T9" s="185">
        <x:v>10</x:v>
      </x:c>
      <x:c r="U9" s="393">
        <x:v>21</x:v>
      </x:c>
      <x:c r="V9" s="33" t="s">
        <x:v>27</x:v>
      </x:c>
      <x:c r="W9" s="33">
        <x:v>14</x:v>
      </x:c>
      <x:c r="X9" s="22">
        <x:f t="shared" ref="X9" si="6">W9/(M9/1000)</x:f>
        <x:v>1.0876320696084525</x:v>
      </x:c>
      <x:c r="Y9" s="32" t="s">
        <x:v>334</x:v>
      </x:c>
      <x:c r="Z9" s="32" t="s">
        <x:v>301</x:v>
      </x:c>
      <x:c r="AA9" s="31">
        <x:f>M9/3</x:f>
        <x:v>4290.666666666667</x:v>
      </x:c>
      <x:c r="AB9" s="32" t="s">
        <x:v>302</x:v>
      </x:c>
      <x:c r="AD9" s="29" t="s">
        <x:v>303</x:v>
      </x:c>
      <x:c r="AF9" s="23">
        <x:f t="shared" si="1"/>
        <x:v>0.14775022956841138</x:v>
      </x:c>
      <x:c r="AG9" s="28">
        <x:f t="shared" si="2"/>
        <x:v>19.800275482093664</x:v>
      </x:c>
    </x:row>
    <x:row r="10" spans="1:33" x14ac:dyDescent="0.25">
      <x:c r="B10" s="25" t="s">
        <x:v>317</x:v>
      </x:c>
      <x:c r="C10" s="25" t="s">
        <x:v>318</x:v>
      </x:c>
      <x:c r="D10" s="25" t="s">
        <x:v>319</x:v>
      </x:c>
      <x:c r="E10" s="26">
        <x:v>43977</x:v>
      </x:c>
      <x:c r="F10" s="27">
        <x:v>1775000</x:v>
      </x:c>
      <x:c r="G10" s="28">
        <x:f>F10/M10</x:f>
        <x:v>123.26388888888889</x:v>
      </x:c>
      <x:c r="H10" s="29" t="s">
        <x:v>320</x:v>
      </x:c>
      <x:c r="I10" s="29" t="s">
        <x:v>321</x:v>
      </x:c>
      <x:c r="J10" s="29" t="s">
        <x:v>243</x:v>
      </x:c>
      <x:c r="K10" s="30">
        <x:v>0.67</x:v>
      </x:c>
      <x:c r="L10" s="29" t="s">
        <x:v>29</x:v>
      </x:c>
      <x:c r="M10" s="31">
        <x:v>14400</x:v>
      </x:c>
      <x:c r="N10" s="32">
        <x:v>2008</x:v>
      </x:c>
      <x:c r="O10" s="48">
        <x:v>100624</x:v>
      </x:c>
      <x:c r="P10" s="403">
        <x:f>M10/O10</x:f>
        <x:v>0.14310701224359992</x:v>
      </x:c>
      <x:c r="Q10" s="48">
        <x:v>7146</x:v>
      </x:c>
      <x:c r="R10" s="403">
        <x:f>Q10/M10</x:f>
        <x:v>0.49625000000000002</x:v>
      </x:c>
      <x:c r="S10" s="48" t="s">
        <x:v>30</x:v>
      </x:c>
      <x:c r="T10" s="397">
        <x:v>5</x:v>
      </x:c>
      <x:c r="U10" s="395">
        <x:v>18</x:v>
      </x:c>
      <x:c r="V10" s="48" t="s">
        <x:v>27</x:v>
      </x:c>
      <x:c r="W10" s="48">
        <x:v>28</x:v>
      </x:c>
      <x:c r="X10" s="34">
        <x:f>W10/(M10/1000)</x:f>
        <x:v>1.9444444444444444</x:v>
      </x:c>
      <x:c r="Y10" s="32" t="s">
        <x:v>334</x:v>
      </x:c>
      <x:c r="Z10" s="32" t="s">
        <x:v>322</x:v>
      </x:c>
      <x:c r="AA10" s="31">
        <x:f>M10/5</x:f>
        <x:v>2880</x:v>
      </x:c>
      <x:c r="AB10" s="32" t="s">
        <x:v>28</x:v>
      </x:c>
      <x:c r="AD10" s="29" t="s">
        <x:v>323</x:v>
      </x:c>
      <x:c r="AF10" s="23">
        <x:f t="shared" si="1"/>
        <x:v>0.14310701224359992</x:v>
      </x:c>
      <x:c r="AG10" s="28">
        <x:f t="shared" si="2"/>
        <x:v>17.639926856415965</x:v>
      </x:c>
    </x:row>
    <x:row r="11" spans="1:33" x14ac:dyDescent="0.25">
      <x:c r="T11" s="397"/>
      <x:c r="U11" s="395"/>
      <x:c r="X11" s="34"/>
      <x:c r="AF11" s="23"/>
      <x:c r="AG11" s="28"/>
    </x:row>
    <x:row r="12" spans="1:33" s="43" customFormat="1" x14ac:dyDescent="0.25">
      <x:c r="A12" s="35"/>
      <x:c r="B12" s="36"/>
      <x:c r="C12" s="36"/>
      <x:c r="D12" s="36"/>
      <x:c r="E12" s="37"/>
      <x:c r="F12" s="38"/>
      <x:c r="G12" s="39"/>
      <x:c r="H12" s="40"/>
      <x:c r="I12" s="40"/>
      <x:c r="J12" s="40"/>
      <x:c r="K12" s="41"/>
      <x:c r="L12" s="40"/>
      <x:c r="M12" s="42"/>
      <x:c r="O12" s="44"/>
      <x:c r="P12" s="404"/>
      <x:c r="Q12" s="44"/>
      <x:c r="R12" s="404"/>
      <x:c r="S12" s="44"/>
      <x:c r="T12" s="183"/>
      <x:c r="U12" s="394"/>
      <x:c r="V12" s="44"/>
      <x:c r="W12" s="44"/>
      <x:c r="X12" s="45"/>
      <x:c r="AA12" s="42"/>
      <x:c r="AC12" s="39"/>
      <x:c r="AD12" s="40"/>
      <x:c r="AE12" s="36"/>
      <x:c r="AF12" s="46"/>
    </x:row>
    <x:row r="13" spans="1:33" s="20" customFormat="1" x14ac:dyDescent="0.25">
      <x:c r="A13" s="12" t="s">
        <x:v>66</x:v>
      </x:c>
      <x:c r="B13" s="13"/>
      <x:c r="C13" s="13"/>
      <x:c r="D13" s="13"/>
      <x:c r="E13" s="14"/>
      <x:c r="F13" s="15"/>
      <x:c r="G13" s="16"/>
      <x:c r="H13" s="17"/>
      <x:c r="I13" s="17"/>
      <x:c r="J13" s="17"/>
      <x:c r="K13" s="18"/>
      <x:c r="L13" s="17"/>
      <x:c r="M13" s="19"/>
      <x:c r="O13" s="21"/>
      <x:c r="P13" s="400"/>
      <x:c r="Q13" s="21"/>
      <x:c r="R13" s="400"/>
      <x:c r="S13" s="21"/>
      <x:c r="T13" s="187"/>
      <x:c r="U13" s="391"/>
      <x:c r="V13" s="21"/>
      <x:c r="W13" s="21"/>
      <x:c r="X13" s="21"/>
      <x:c r="AA13" s="19"/>
      <x:c r="AC13" s="16"/>
      <x:c r="AD13" s="17"/>
      <x:c r="AE13" s="13"/>
    </x:row>
    <x:row r="14" spans="1:33" x14ac:dyDescent="0.25">
      <x:c r="O14" s="33"/>
      <x:c r="P14" s="402"/>
      <x:c r="Q14" s="33"/>
      <x:c r="R14" s="402"/>
      <x:c r="S14" s="33"/>
      <x:c r="T14" s="185"/>
      <x:c r="U14" s="393"/>
      <x:c r="V14" s="33"/>
      <x:c r="W14" s="33"/>
      <x:c r="X14" s="33"/>
    </x:row>
    <x:row r="15" spans="1:33" x14ac:dyDescent="0.25">
      <x:c r="B15" s="25" t="s">
        <x:v>304</x:v>
      </x:c>
      <x:c r="C15" s="25" t="s">
        <x:v>290</x:v>
      </x:c>
      <x:c r="D15" s="25" t="s">
        <x:v>305</x:v>
      </x:c>
      <x:c r="E15" s="26">
        <x:v>44236</x:v>
      </x:c>
      <x:c r="F15" s="27">
        <x:v>1225000</x:v>
      </x:c>
      <x:c r="G15" s="28">
        <x:f>F15/M15</x:f>
        <x:v>92.803030303030297</x:v>
      </x:c>
      <x:c r="H15" s="29" t="s">
        <x:v>306</x:v>
      </x:c>
      <x:c r="I15" s="29" t="s">
        <x:v>307</x:v>
      </x:c>
      <x:c r="J15" s="29" t="s">
        <x:v>243</x:v>
      </x:c>
      <x:c r="K15" s="30">
        <x:v>0.32</x:v>
      </x:c>
      <x:c r="L15" s="29" t="s">
        <x:v>29</x:v>
      </x:c>
      <x:c r="M15" s="31">
        <x:v>13200</x:v>
      </x:c>
      <x:c r="N15" s="32">
        <x:v>1999</x:v>
      </x:c>
      <x:c r="O15" s="48">
        <x:v>43560</x:v>
      </x:c>
      <x:c r="P15" s="403">
        <x:f>M15/O15</x:f>
        <x:v>0.30303030303030304</x:v>
      </x:c>
      <x:c r="Q15" s="48">
        <x:v>4875</x:v>
      </x:c>
      <x:c r="R15" s="403">
        <x:f>Q15/M15</x:f>
        <x:v>0.36931818181818182</x:v>
      </x:c>
      <x:c r="S15" s="48" t="s">
        <x:v>300</x:v>
      </x:c>
      <x:c r="T15" s="397">
        <x:v>5</x:v>
      </x:c>
      <x:c r="U15" s="395">
        <x:v>18</x:v>
      </x:c>
      <x:c r="V15" s="48" t="s">
        <x:v>30</x:v>
      </x:c>
      <x:c r="W15" s="48">
        <x:v>18</x:v>
      </x:c>
      <x:c r="X15" s="22">
        <x:f>W15/(M15/1000)</x:f>
        <x:v>1.3636363636363638</x:v>
      </x:c>
      <x:c r="Y15" s="32" t="s">
        <x:v>294</x:v>
      </x:c>
      <x:c r="Z15" s="32" t="s">
        <x:v>308</x:v>
      </x:c>
      <x:c r="AA15" s="31">
        <x:f>M15/6</x:f>
        <x:v>2200</x:v>
      </x:c>
      <x:c r="AB15" s="32" t="s">
        <x:v>28</x:v>
      </x:c>
      <x:c r="AC15" s="28" t="s">
        <x:v>309</x:v>
      </x:c>
      <x:c r="AD15" s="29" t="s">
        <x:v>310</x:v>
      </x:c>
      <x:c r="AF15" s="23">
        <x:f>M15/O15</x:f>
        <x:v>0.30303030303030304</x:v>
      </x:c>
      <x:c r="AG15" s="28">
        <x:f>F15/O15</x:f>
        <x:v>28.122130394857667</x:v>
      </x:c>
    </x:row>
    <x:row r="16" spans="1:33" x14ac:dyDescent="0.25">
      <x:c r="B16" s="25" t="s">
        <x:v>311</x:v>
      </x:c>
      <x:c r="C16" s="25" t="s">
        <x:v>312</x:v>
      </x:c>
      <x:c r="D16" s="25">
        <x:v>178454</x:v>
      </x:c>
      <x:c r="E16" s="26">
        <x:v>44376</x:v>
      </x:c>
      <x:c r="F16" s="27">
        <x:v>1050000</x:v>
      </x:c>
      <x:c r="G16" s="28">
        <x:f>F16/M16</x:f>
        <x:v>87.5</x:v>
      </x:c>
      <x:c r="H16" s="29" t="s">
        <x:v>313</x:v>
      </x:c>
      <x:c r="I16" s="29" t="s">
        <x:v>314</x:v>
      </x:c>
      <x:c r="J16" s="29" t="s">
        <x:v>225</x:v>
      </x:c>
      <x:c r="K16" s="30">
        <x:v>1</x:v>
      </x:c>
      <x:c r="L16" s="29" t="s">
        <x:v>29</x:v>
      </x:c>
      <x:c r="M16" s="31">
        <x:v>12000</x:v>
      </x:c>
      <x:c r="N16" s="32">
        <x:v>1989</x:v>
      </x:c>
      <x:c r="O16" s="48">
        <x:v>63598</x:v>
      </x:c>
      <x:c r="P16" s="403">
        <x:f>M16/O16</x:f>
        <x:v>0.1886851787792069</x:v>
      </x:c>
      <x:c r="Q16" s="48">
        <x:v>2000</x:v>
      </x:c>
      <x:c r="R16" s="462">
        <x:f>Q16/M16</x:f>
        <x:v>0.16666666666666666</x:v>
      </x:c>
      <x:c r="S16" s="48" t="s">
        <x:v>315</x:v>
      </x:c>
      <x:c r="T16" s="397">
        <x:v>5</x:v>
      </x:c>
      <x:c r="U16" s="395">
        <x:v>15</x:v>
      </x:c>
      <x:c r="V16" s="48" t="s">
        <x:v>30</x:v>
      </x:c>
      <x:c r="W16" s="48">
        <x:v>21</x:v>
      </x:c>
      <x:c r="X16" s="22">
        <x:f>W16/(M16/1000)</x:f>
        <x:v>1.75</x:v>
      </x:c>
      <x:c r="Y16" s="25" t="s">
        <x:v>294</x:v>
      </x:c>
      <x:c r="Z16" s="32" t="s">
        <x:v>231</x:v>
      </x:c>
      <x:c r="AA16" s="31">
        <x:f>M16/5</x:f>
        <x:v>2400</x:v>
      </x:c>
      <x:c r="AB16" s="32" t="s">
        <x:v>28</x:v>
      </x:c>
      <x:c r="AD16" s="463" t="s">
        <x:v>316</x:v>
      </x:c>
      <x:c r="AF16" s="23">
        <x:f>M16/O16</x:f>
        <x:v>0.1886851787792069</x:v>
      </x:c>
      <x:c r="AG16" s="28">
        <x:f>F16/O16</x:f>
        <x:v>16.509953143180603</x:v>
      </x:c>
    </x:row>
  </x:sheetData>
  <x:phoneticPr fontId="35" type="noConversion"/>
  <x:pageMargins left="0.7" right="0.7" top="0.75" bottom="0.75" header="0.3" footer="0.3"/>
  <x:pageSetup orientation="portrait"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E896F3C-83DE-460C-83AC-5E7D42E670C9}" mc:Ignorable="x14ac xr xr2 xr3">
  <x:sheetPr>
    <x:tabColor theme="4" tint="-0.499984740745262"/>
  </x:sheetPr>
  <x:dimension ref="A1:B30"/>
  <x:sheetViews>
    <x:sheetView workbookViewId="0">
      <x:selection activeCell="F22" sqref="F22"/>
    </x:sheetView>
  </x:sheetViews>
  <x:sheetFormatPr defaultRowHeight="15" customHeight="1" x14ac:dyDescent="0.2"/>
  <x:cols>
    <x:col min="1" max="2" width="22.7109375" style="49" customWidth="1"/>
    <x:col min="3" max="16384" width="9.140625" style="49"/>
  </x:cols>
  <x:sheetData>
    <x:row r="1" spans="1:2" ht="15" customHeight="1" x14ac:dyDescent="0.2">
      <x:c r="A1" s="494" t="s">
        <x:v>31</x:v>
      </x:c>
      <x:c r="B1" s="494" t="e">
        <x:f>SG!#REF!</x:f>
        <x:v>#REF!</x:v>
      </x:c>
    </x:row>
    <x:row r="2" spans="1:2" ht="15" customHeight="1" x14ac:dyDescent="0.2">
      <x:c r="A2" s="495" t="s">
        <x:v>32</x:v>
      </x:c>
      <x:c r="B2" s="495"/>
    </x:row>
    <x:row r="3" spans="1:2" ht="15" customHeight="1" x14ac:dyDescent="0.2">
      <x:c r="A3" s="493" t="str">
        <x:f>SSum!B1</x:f>
        <x:v>Address</x:v>
      </x:c>
      <x:c r="B3" s="50" t="str">
        <x:f>SSum!B6</x:f>
        <x:v>10725 John Price Rd</x:v>
      </x:c>
    </x:row>
    <x:row r="4" spans="1:2" ht="15" customHeight="1" x14ac:dyDescent="0.2">
      <x:c r="A4" s="493"/>
      <x:c r="B4" s="50" t="str">
        <x:f>SSum!C6</x:f>
        <x:v>Charlotte, NC</x:v>
      </x:c>
    </x:row>
    <x:row r="5" spans="1:2" ht="15" customHeight="1" x14ac:dyDescent="0.2">
      <x:c r="A5" s="50" t="str">
        <x:f>SSum!D1</x:f>
        <x:v>Parcel No.(s)</x:v>
      </x:c>
      <x:c r="B5" s="51" t="str">
        <x:f>SSum!D6</x:f>
        <x:v>201-181-27</x:v>
      </x:c>
    </x:row>
    <x:row r="6" spans="1:2" ht="15" customHeight="1" x14ac:dyDescent="0.2">
      <x:c r="A6" s="495" t="s">
        <x:v>33</x:v>
      </x:c>
      <x:c r="B6" s="495"/>
    </x:row>
    <x:row r="7" spans="1:2" ht="15" customHeight="1" x14ac:dyDescent="0.2">
      <x:c r="A7" s="52" t="str">
        <x:f>SSum!E1</x:f>
        <x:v>Date of Sale</x:v>
      </x:c>
      <x:c r="B7" s="53">
        <x:f>SSum!E6</x:f>
        <x:v>44698</x:v>
      </x:c>
    </x:row>
    <x:row r="8" spans="1:2" ht="15" customHeight="1" x14ac:dyDescent="0.2">
      <x:c r="A8" s="52" t="str">
        <x:f>SSum!F1</x:f>
        <x:v>Sale Price</x:v>
      </x:c>
      <x:c r="B8" s="54">
        <x:f>SSum!F6</x:f>
        <x:v>2275000</x:v>
      </x:c>
    </x:row>
    <x:row r="9" spans="1:2" ht="15" customHeight="1" x14ac:dyDescent="0.2">
      <x:c r="A9" s="52" t="str">
        <x:f>SSum!G1</x:f>
        <x:v>Price/SF</x:v>
      </x:c>
      <x:c r="B9" s="55">
        <x:f>SSum!G6</x:f>
        <x:v>115.98857958600999</x:v>
      </x:c>
    </x:row>
    <x:row r="10" spans="1:2" ht="15" customHeight="1" x14ac:dyDescent="0.2">
      <x:c r="A10" s="52" t="str">
        <x:f>SSum!H1</x:f>
        <x:v>Grantor</x:v>
      </x:c>
      <x:c r="B10" s="56" t="str">
        <x:f>SSum!H6</x:f>
        <x:v>MSE Center LLC</x:v>
      </x:c>
    </x:row>
    <x:row r="11" spans="1:2" ht="15" customHeight="1" x14ac:dyDescent="0.2">
      <x:c r="A11" s="52" t="str">
        <x:f>SSum!I1</x:f>
        <x:v>Grantee</x:v>
      </x:c>
      <x:c r="B11" s="56" t="str">
        <x:f>SSum!I6</x:f>
        <x:v>Sand Fiddlers Partners, LLC</x:v>
      </x:c>
    </x:row>
    <x:row r="12" spans="1:2" ht="15" customHeight="1" x14ac:dyDescent="0.2">
      <x:c r="A12" s="52" t="str">
        <x:f>SSum!J1</x:f>
        <x:v>Property Rights</x:v>
      </x:c>
      <x:c r="B12" s="50" t="str">
        <x:f>SSum!J6</x:f>
        <x:v>Leased Fee</x:v>
      </x:c>
    </x:row>
    <x:row r="13" spans="1:2" ht="15" customHeight="1" x14ac:dyDescent="0.2">
      <x:c r="A13" s="57" t="str">
        <x:f>SSum!K1</x:f>
        <x:v>Occupancy ATOS</x:v>
      </x:c>
      <x:c r="B13" s="58">
        <x:f>SSum!K6</x:f>
        <x:v>0.5</x:v>
      </x:c>
    </x:row>
    <x:row r="14" spans="1:2" ht="15" customHeight="1" x14ac:dyDescent="0.2">
      <x:c r="A14" s="52" t="str">
        <x:f>SSum!L1</x:f>
        <x:v>Verification</x:v>
      </x:c>
      <x:c r="B14" s="50" t="str">
        <x:f>SSum!L6</x:f>
        <x:v>Listing Broker</x:v>
      </x:c>
    </x:row>
    <x:row r="15" spans="1:2" ht="15" customHeight="1" x14ac:dyDescent="0.2">
      <x:c r="A15" s="495" t="s">
        <x:v>34</x:v>
      </x:c>
      <x:c r="B15" s="495"/>
    </x:row>
    <x:row r="16" spans="1:2" ht="15" customHeight="1" x14ac:dyDescent="0.2">
      <x:c r="A16" s="59" t="str">
        <x:f>SSum!M1</x:f>
        <x:v>Gross Building Area (SF)</x:v>
      </x:c>
      <x:c r="B16" s="60">
        <x:f>SSum!M6</x:f>
        <x:v>19614</x:v>
      </x:c>
    </x:row>
    <x:row r="17" spans="1:2" ht="15" customHeight="1" x14ac:dyDescent="0.2">
      <x:c r="A17" s="61" t="str">
        <x:f>SSum!N1</x:f>
        <x:v>Year Built</x:v>
      </x:c>
      <x:c r="B17" s="50">
        <x:f>SSum!N6</x:f>
        <x:v>1988</x:v>
      </x:c>
    </x:row>
    <x:row r="18" spans="1:2" ht="15" customHeight="1" x14ac:dyDescent="0.2">
      <x:c r="A18" s="59" t="str">
        <x:f>SSum!O1</x:f>
        <x:v>Site Size (SF)</x:v>
      </x:c>
      <x:c r="B18" s="60">
        <x:f>SSum!O6</x:f>
        <x:v>60984</x:v>
      </x:c>
    </x:row>
    <x:row r="19" spans="1:2" ht="15" customHeight="1" x14ac:dyDescent="0.2">
      <x:c r="A19" s="59" t="s">
        <x:v>228</x:v>
      </x:c>
      <x:c r="B19" s="405">
        <x:f>SSum!P6</x:f>
        <x:v>0.32162534435261708</x:v>
      </x:c>
    </x:row>
    <x:row r="20" spans="1:2" ht="15" customHeight="1" x14ac:dyDescent="0.2">
      <x:c r="A20" s="59" t="str">
        <x:f>SSum!R1</x:f>
        <x:v>Office Ratio</x:v>
      </x:c>
      <x:c r="B20" s="405">
        <x:f>SSum!R6</x:f>
        <x:v>0.22494136841031917</x:v>
      </x:c>
    </x:row>
    <x:row r="21" spans="1:2" ht="15" customHeight="1" x14ac:dyDescent="0.2">
      <x:c r="A21" s="59" t="str">
        <x:f>SSum!S1</x:f>
        <x:v>Quality</x:v>
      </x:c>
      <x:c r="B21" s="62" t="str">
        <x:f>SSum!S6</x:f>
        <x:v>Average</x:v>
      </x:c>
    </x:row>
    <x:row r="22" spans="1:2" ht="15" customHeight="1" x14ac:dyDescent="0.2">
      <x:c r="A22" s="59" t="str">
        <x:f>SSum!T1</x:f>
        <x:v>Effective Age/Condition</x:v>
      </x:c>
      <x:c r="B22" s="64">
        <x:f>SSum!T6</x:f>
        <x:v>10</x:v>
      </x:c>
    </x:row>
    <x:row r="23" spans="1:2" ht="15" customHeight="1" x14ac:dyDescent="0.2">
      <x:c r="A23" s="59" t="str">
        <x:f>SSum!V1</x:f>
        <x:v>Access</x:v>
      </x:c>
      <x:c r="B23" s="60" t="str">
        <x:f>SSum!V6</x:f>
        <x:v>Good</x:v>
      </x:c>
    </x:row>
    <x:row r="24" spans="1:2" ht="15" customHeight="1" x14ac:dyDescent="0.2">
      <x:c r="A24" s="59" t="str">
        <x:f>SSum!X1</x:f>
        <x:v>Parking Ratio</x:v>
      </x:c>
      <x:c r="B24" s="63">
        <x:f>SSum!X6</x:f>
        <x:v>1.4785357397777097</x:v>
      </x:c>
    </x:row>
    <x:row r="25" spans="1:2" ht="15" customHeight="1" x14ac:dyDescent="0.2">
      <x:c r="A25" s="61" t="str">
        <x:f>SSum!Y1</x:f>
        <x:v>Building Use</x:v>
      </x:c>
      <x:c r="B25" s="50" t="str">
        <x:f>SSum!Y6</x:f>
        <x:v xml:space="preserve">Industrial  </x:v>
      </x:c>
    </x:row>
    <x:row r="26" spans="1:2" ht="15" customHeight="1" x14ac:dyDescent="0.2">
      <x:c r="A26" s="59" t="str">
        <x:f>SSum!U1</x:f>
        <x:v>Eave Height</x:v>
      </x:c>
      <x:c r="B26" s="411">
        <x:f>SSum!U6</x:f>
        <x:v>20</x:v>
      </x:c>
    </x:row>
    <x:row r="27" spans="1:2" ht="15" customHeight="1" x14ac:dyDescent="0.2">
      <x:c r="A27" s="61" t="str">
        <x:f>SSum!Z1</x:f>
        <x:v>Loading</x:v>
      </x:c>
      <x:c r="B27" s="50" t="str">
        <x:f>SSum!Z6</x:f>
        <x:v>1 GL/3 DH</x:v>
      </x:c>
    </x:row>
    <x:row r="28" spans="1:2" ht="15" customHeight="1" x14ac:dyDescent="0.2">
      <x:c r="A28" s="59" t="str">
        <x:f>SSum!AA1</x:f>
        <x:v>Loading SF</x:v>
      </x:c>
      <x:c r="B28" s="60">
        <x:f>SSum!AA6</x:f>
        <x:v>4903.5</x:v>
      </x:c>
    </x:row>
    <x:row r="29" spans="1:2" ht="15" customHeight="1" x14ac:dyDescent="0.2">
      <x:c r="A29" s="495" t="s">
        <x:v>22</x:v>
      </x:c>
      <x:c r="B29" s="495"/>
    </x:row>
    <x:row r="30" spans="1:2" ht="15" customHeight="1" x14ac:dyDescent="0.2">
      <x:c r="A30" s="493" t="str">
        <x:f>SSum!AD6</x:f>
        <x:v>The sale of a freestanding, multi-tenant industrial building located on the southeast side of John Price Road just north of South Tryon Street and about two miles southwest of the Interstate 485/South Tryon Street interchange within the city limits of Charlotte. The building was constructed in 1988 and features concrete block construction, wet sprinkler system and a clear height of 20'. The two-suite building was 50 percent occupied at the time of sale with the tenant leased through August 2026. The property was on the market for about nine months with an original asking price of $2,300,000. Truist Bank financed the deal with a loan in the amount of $1,955,000.</x:v>
      </x:c>
      <x:c r="B30" s="493" t="e">
        <x:v>#REF!</x:v>
      </x:c>
    </x:row>
  </x:sheetData>
  <x:mergeCells count="7">
    <x:mergeCell ref="A30:B30"/>
    <x:mergeCell ref="A1:B1"/>
    <x:mergeCell ref="A2:B2"/>
    <x:mergeCell ref="A3:A4"/>
    <x:mergeCell ref="A6:B6"/>
    <x:mergeCell ref="A15:B15"/>
    <x:mergeCell ref="A29:B29"/>
  </x:mergeCells>
  <x:pageMargins left="0.7" right="0.7" top="0.75" bottom="0.75" header="0.3" footer="0.3"/>
  <x:pageSetup orientation="portrait"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1D3129C-C380-4699-9100-24BBB477250D}" mc:Ignorable="x14ac xr xr2 xr3">
  <x:sheetPr>
    <x:tabColor theme="4" tint="-0.499984740745262"/>
  </x:sheetPr>
  <x:dimension ref="A1:B30"/>
  <x:sheetViews>
    <x:sheetView workbookViewId="0">
      <x:selection sqref="A1:B30"/>
    </x:sheetView>
  </x:sheetViews>
  <x:sheetFormatPr defaultRowHeight="15" customHeight="1" x14ac:dyDescent="0.25"/>
  <x:cols>
    <x:col min="1" max="2" width="22.7109375" style="65" customWidth="1"/>
    <x:col min="3" max="16384" width="9.140625" style="65"/>
  </x:cols>
  <x:sheetData>
    <x:row r="1" spans="1:2" ht="15" customHeight="1" x14ac:dyDescent="0.25">
      <x:c r="A1" s="494" t="s">
        <x:v>35</x:v>
      </x:c>
      <x:c r="B1" s="494"/>
    </x:row>
    <x:row r="2" spans="1:2" ht="15" customHeight="1" x14ac:dyDescent="0.25">
      <x:c r="A2" s="495" t="s">
        <x:v>32</x:v>
      </x:c>
      <x:c r="B2" s="495"/>
    </x:row>
    <x:row r="3" spans="1:2" ht="15" customHeight="1" x14ac:dyDescent="0.25">
      <x:c r="A3" s="493" t="str">
        <x:f>SSum!B1</x:f>
        <x:v>Address</x:v>
      </x:c>
      <x:c r="B3" s="51" t="str">
        <x:f>SSum!B7</x:f>
        <x:v>1508 Industrial Dr</x:v>
      </x:c>
    </x:row>
    <x:row r="4" spans="1:2" ht="15" customHeight="1" x14ac:dyDescent="0.25">
      <x:c r="A4" s="493"/>
      <x:c r="B4" s="50" t="str">
        <x:f>SSum!C7</x:f>
        <x:v>Matthews, NC</x:v>
      </x:c>
    </x:row>
    <x:row r="5" spans="1:2" ht="15" customHeight="1" x14ac:dyDescent="0.25">
      <x:c r="A5" s="50" t="str">
        <x:f>SSum!D1</x:f>
        <x:v>Parcel No.(s)</x:v>
      </x:c>
      <x:c r="B5" s="51" t="str">
        <x:f>SSum!D7</x:f>
        <x:v>193-211-07</x:v>
      </x:c>
    </x:row>
    <x:row r="6" spans="1:2" ht="15" customHeight="1" x14ac:dyDescent="0.25">
      <x:c r="A6" s="495" t="s">
        <x:v>33</x:v>
      </x:c>
      <x:c r="B6" s="495"/>
    </x:row>
    <x:row r="7" spans="1:2" ht="15" customHeight="1" x14ac:dyDescent="0.25">
      <x:c r="A7" s="52" t="str">
        <x:f>SSum!E1</x:f>
        <x:v>Date of Sale</x:v>
      </x:c>
      <x:c r="B7" s="53">
        <x:f>SSum!E7</x:f>
        <x:v>44547</x:v>
      </x:c>
    </x:row>
    <x:row r="8" spans="1:2" ht="15" customHeight="1" x14ac:dyDescent="0.25">
      <x:c r="A8" s="52" t="str">
        <x:f>SSum!F1</x:f>
        <x:v>Sale Price</x:v>
      </x:c>
      <x:c r="B8" s="54">
        <x:f>SSum!F7</x:f>
        <x:v>1845000</x:v>
      </x:c>
    </x:row>
    <x:row r="9" spans="1:2" ht="15" customHeight="1" x14ac:dyDescent="0.25">
      <x:c r="A9" s="52" t="str">
        <x:f>SSum!G1</x:f>
        <x:v>Price/SF</x:v>
      </x:c>
      <x:c r="B9" s="55">
        <x:f>SSum!G7</x:f>
        <x:v>143.69158878504672</x:v>
      </x:c>
    </x:row>
    <x:row r="10" spans="1:2" ht="15" customHeight="1" x14ac:dyDescent="0.25">
      <x:c r="A10" s="52" t="str">
        <x:f>SSum!H1</x:f>
        <x:v>Grantor</x:v>
      </x:c>
      <x:c r="B10" s="56" t="str">
        <x:f>SSum!H7</x:f>
        <x:v>Match Properties, LLC</x:v>
      </x:c>
    </x:row>
    <x:row r="11" spans="1:2" ht="15" customHeight="1" x14ac:dyDescent="0.25">
      <x:c r="A11" s="52" t="str">
        <x:f>SSum!I1</x:f>
        <x:v>Grantee</x:v>
      </x:c>
      <x:c r="B11" s="56" t="str">
        <x:f>SSum!I7</x:f>
        <x:v>Wilkat, LLC</x:v>
      </x:c>
    </x:row>
    <x:row r="12" spans="1:2" ht="15" customHeight="1" x14ac:dyDescent="0.25">
      <x:c r="A12" s="52" t="str">
        <x:f>SSum!J1</x:f>
        <x:v>Property Rights</x:v>
      </x:c>
      <x:c r="B12" s="50" t="str">
        <x:f>SSum!J7</x:f>
        <x:v>Fee Simple</x:v>
      </x:c>
    </x:row>
    <x:row r="13" spans="1:2" ht="15" customHeight="1" x14ac:dyDescent="0.25">
      <x:c r="A13" s="57" t="str">
        <x:f>SSum!K1</x:f>
        <x:v>Occupancy ATOS</x:v>
      </x:c>
      <x:c r="B13" s="58" t="str">
        <x:f>SSum!K7</x:f>
        <x:v>Vacant</x:v>
      </x:c>
    </x:row>
    <x:row r="14" spans="1:2" ht="15" customHeight="1" x14ac:dyDescent="0.25">
      <x:c r="A14" s="52" t="str">
        <x:f>SSum!L1</x:f>
        <x:v>Verification</x:v>
      </x:c>
      <x:c r="B14" s="50" t="str">
        <x:f>SSum!L7</x:f>
        <x:v>Listing Broker</x:v>
      </x:c>
    </x:row>
    <x:row r="15" spans="1:2" ht="15" customHeight="1" x14ac:dyDescent="0.25">
      <x:c r="A15" s="495" t="s">
        <x:v>34</x:v>
      </x:c>
      <x:c r="B15" s="495"/>
    </x:row>
    <x:row r="16" spans="1:2" ht="15" customHeight="1" x14ac:dyDescent="0.25">
      <x:c r="A16" s="59" t="str">
        <x:f>SSum!M1</x:f>
        <x:v>Gross Building Area (SF)</x:v>
      </x:c>
      <x:c r="B16" s="60">
        <x:f>SSum!M7</x:f>
        <x:v>12840</x:v>
      </x:c>
    </x:row>
    <x:row r="17" spans="1:2" ht="15" customHeight="1" x14ac:dyDescent="0.25">
      <x:c r="A17" s="61" t="str">
        <x:f>SSum!N1</x:f>
        <x:v>Year Built</x:v>
      </x:c>
      <x:c r="B17" s="50">
        <x:f>SSum!N7</x:f>
        <x:v>1986</x:v>
      </x:c>
    </x:row>
    <x:row r="18" spans="1:2" ht="15" customHeight="1" x14ac:dyDescent="0.25">
      <x:c r="A18" s="59" t="str">
        <x:f>SSum!O1</x:f>
        <x:v>Site Size (SF)</x:v>
      </x:c>
      <x:c r="B18" s="60">
        <x:f>SSum!O7</x:f>
        <x:v>105981</x:v>
      </x:c>
    </x:row>
    <x:row r="19" spans="1:2" ht="15" customHeight="1" x14ac:dyDescent="0.25">
      <x:c r="A19" s="59" t="s">
        <x:v>228</x:v>
      </x:c>
      <x:c r="B19" s="405">
        <x:f>SSum!P7</x:f>
        <x:v>0.1211537917173833</x:v>
      </x:c>
    </x:row>
    <x:row r="20" spans="1:2" ht="15" customHeight="1" x14ac:dyDescent="0.25">
      <x:c r="A20" s="59" t="str">
        <x:f>SSum!R1</x:f>
        <x:v>Office Ratio</x:v>
      </x:c>
      <x:c r="B20" s="405">
        <x:f>SSum!R7</x:f>
        <x:v>0.27258566978193144</x:v>
      </x:c>
    </x:row>
    <x:row r="21" spans="1:2" ht="15" customHeight="1" x14ac:dyDescent="0.25">
      <x:c r="A21" s="59" t="str">
        <x:f>SSum!S1</x:f>
        <x:v>Quality</x:v>
      </x:c>
      <x:c r="B21" s="62" t="str">
        <x:f>SSum!S7</x:f>
        <x:v>Average</x:v>
      </x:c>
    </x:row>
    <x:row r="22" spans="1:2" ht="15" customHeight="1" x14ac:dyDescent="0.25">
      <x:c r="A22" s="59" t="str">
        <x:f>SSum!T1</x:f>
        <x:v>Effective Age/Condition</x:v>
      </x:c>
      <x:c r="B22" s="64">
        <x:f>SSum!T7</x:f>
        <x:v>10</x:v>
      </x:c>
    </x:row>
    <x:row r="23" spans="1:2" ht="15" customHeight="1" x14ac:dyDescent="0.25">
      <x:c r="A23" s="59" t="str">
        <x:f>SSum!V1</x:f>
        <x:v>Access</x:v>
      </x:c>
      <x:c r="B23" s="60" t="str">
        <x:f>SSum!V7</x:f>
        <x:v>Good</x:v>
      </x:c>
    </x:row>
    <x:row r="24" spans="1:2" ht="15" customHeight="1" x14ac:dyDescent="0.25">
      <x:c r="A24" s="59" t="str">
        <x:f>SSum!X1</x:f>
        <x:v>Parking Ratio</x:v>
      </x:c>
      <x:c r="B24" s="63">
        <x:f>SSum!X7</x:f>
        <x:v>0.77881619937694702</x:v>
      </x:c>
    </x:row>
    <x:row r="25" spans="1:2" ht="15" customHeight="1" x14ac:dyDescent="0.25">
      <x:c r="A25" s="61" t="str">
        <x:f>SSum!Y1</x:f>
        <x:v>Building Use</x:v>
      </x:c>
      <x:c r="B25" s="50" t="str">
        <x:f>SSum!Y7</x:f>
        <x:v xml:space="preserve">Industrial  </x:v>
      </x:c>
    </x:row>
    <x:row r="26" spans="1:2" ht="15" customHeight="1" x14ac:dyDescent="0.25">
      <x:c r="A26" s="59" t="str">
        <x:f>SSum!U1</x:f>
        <x:v>Eave Height</x:v>
      </x:c>
      <x:c r="B26" s="411">
        <x:f>SSum!U7</x:f>
        <x:v>18</x:v>
      </x:c>
    </x:row>
    <x:row r="27" spans="1:2" ht="15" customHeight="1" x14ac:dyDescent="0.25">
      <x:c r="A27" s="61" t="str">
        <x:f>SSum!Z1</x:f>
        <x:v>Loading</x:v>
      </x:c>
      <x:c r="B27" s="50" t="str">
        <x:f>SSum!Z7</x:f>
        <x:v>1 GL/2 DH</x:v>
      </x:c>
    </x:row>
    <x:row r="28" spans="1:2" ht="15" customHeight="1" x14ac:dyDescent="0.25">
      <x:c r="A28" s="59" t="str">
        <x:f>SSum!AA1</x:f>
        <x:v>Loading SF</x:v>
      </x:c>
      <x:c r="B28" s="60">
        <x:f>SSum!AA7</x:f>
        <x:v>4280</x:v>
      </x:c>
    </x:row>
    <x:row r="29" spans="1:2" ht="15" customHeight="1" x14ac:dyDescent="0.25">
      <x:c r="A29" s="495" t="s">
        <x:v>22</x:v>
      </x:c>
      <x:c r="B29" s="495"/>
    </x:row>
    <x:row r="30" spans="1:2" ht="15" customHeight="1" x14ac:dyDescent="0.25">
      <x:c r="A30" s="493" t="str">
        <x:f>SSum!AD7</x:f>
        <x:v>The sale of a freestanding industrial building located approximately one mile northwest of the intersection of U.S. Highway 74 and N.C. Highway 51 within the Town of Matthews in Mecklenburg County, North Carolina. The building was constructed in 1986 and features a structural-steel spanning system with a clear height of 18'. The property was on the market for about a month with an asking price of $1,875,000. The building is currently owner-occupied by a foundation repair company dba Cantey Foundation Specialists. First Palmetto Bank financed the deal with a loan in the amount of $1,800,000.</x:v>
      </x:c>
      <x:c r="B30" s="493"/>
    </x:row>
  </x:sheetData>
  <x:mergeCells count="7">
    <x:mergeCell ref="A30:B30"/>
    <x:mergeCell ref="A1:B1"/>
    <x:mergeCell ref="A2:B2"/>
    <x:mergeCell ref="A3:A4"/>
    <x:mergeCell ref="A6:B6"/>
    <x:mergeCell ref="A15:B15"/>
    <x:mergeCell ref="A29:B29"/>
  </x:mergeCells>
  <x:pageMargins left="0.7" right="0.7" top="0.75" bottom="0.75" header="0.3" footer="0.3"/>
  <x:pageSetup orientation="portrait"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5A08F58-776D-4843-8D10-DB73A3A785F7}" mc:Ignorable="x14ac xr xr2 xr3">
  <x:sheetPr>
    <x:tabColor theme="4" tint="-0.499984740745262"/>
  </x:sheetPr>
  <x:dimension ref="A1:B30"/>
  <x:sheetViews>
    <x:sheetView workbookViewId="0">
      <x:selection sqref="A1:B30"/>
    </x:sheetView>
  </x:sheetViews>
  <x:sheetFormatPr defaultRowHeight="15" customHeight="1" x14ac:dyDescent="0.25"/>
  <x:cols>
    <x:col min="1" max="2" width="22.7109375" style="65" customWidth="1"/>
    <x:col min="3" max="16384" width="9.140625" style="65"/>
  </x:cols>
  <x:sheetData>
    <x:row r="1" spans="1:2" ht="15" customHeight="1" x14ac:dyDescent="0.25">
      <x:c r="A1" s="494" t="s">
        <x:v>36</x:v>
      </x:c>
      <x:c r="B1" s="494" t="e">
        <x:f>SG!#REF!</x:f>
        <x:v>#REF!</x:v>
      </x:c>
    </x:row>
    <x:row r="2" spans="1:2" ht="15" customHeight="1" x14ac:dyDescent="0.25">
      <x:c r="A2" s="495" t="s">
        <x:v>32</x:v>
      </x:c>
      <x:c r="B2" s="495"/>
    </x:row>
    <x:row r="3" spans="1:2" ht="15" customHeight="1" x14ac:dyDescent="0.25">
      <x:c r="A3" s="493" t="str">
        <x:f>SSum!B1</x:f>
        <x:v>Address</x:v>
      </x:c>
      <x:c r="B3" s="51" t="str">
        <x:f>SSum!B8</x:f>
        <x:v>138 Cedar Pointe Dr</x:v>
      </x:c>
    </x:row>
    <x:row r="4" spans="1:2" ht="15" customHeight="1" x14ac:dyDescent="0.25">
      <x:c r="A4" s="493"/>
      <x:c r="B4" s="50" t="str">
        <x:f>SSum!C8</x:f>
        <x:v>Mooresville, NC</x:v>
      </x:c>
    </x:row>
    <x:row r="5" spans="1:2" ht="15" customHeight="1" x14ac:dyDescent="0.25">
      <x:c r="A5" s="50" t="str">
        <x:f>SSum!D1</x:f>
        <x:v>Parcel No.(s)</x:v>
      </x:c>
      <x:c r="B5" s="51" t="str">
        <x:f>SSum!D8</x:f>
        <x:v>4648-90-4665.000</x:v>
      </x:c>
    </x:row>
    <x:row r="6" spans="1:2" ht="15" customHeight="1" x14ac:dyDescent="0.25">
      <x:c r="A6" s="495" t="s">
        <x:v>33</x:v>
      </x:c>
      <x:c r="B6" s="495"/>
    </x:row>
    <x:row r="7" spans="1:2" ht="15" customHeight="1" x14ac:dyDescent="0.25">
      <x:c r="A7" s="52" t="str">
        <x:f>SSum!E1</x:f>
        <x:v>Date of Sale</x:v>
      </x:c>
      <x:c r="B7" s="53">
        <x:f>SSum!E8</x:f>
        <x:v>43976</x:v>
      </x:c>
    </x:row>
    <x:row r="8" spans="1:2" ht="15" customHeight="1" x14ac:dyDescent="0.25">
      <x:c r="A8" s="52" t="str">
        <x:f>SSum!F1</x:f>
        <x:v>Sale Price</x:v>
      </x:c>
      <x:c r="B8" s="54">
        <x:f>SSum!F8</x:f>
        <x:v>1575000</x:v>
      </x:c>
    </x:row>
    <x:row r="9" spans="1:2" ht="15" customHeight="1" x14ac:dyDescent="0.25">
      <x:c r="A9" s="52" t="str">
        <x:f>SSum!G1</x:f>
        <x:v>Price/SF</x:v>
      </x:c>
      <x:c r="B9" s="55">
        <x:f>SSum!G8</x:f>
        <x:v>103.61842105263158</x:v>
      </x:c>
    </x:row>
    <x:row r="10" spans="1:2" ht="15" customHeight="1" x14ac:dyDescent="0.25">
      <x:c r="A10" s="52" t="str">
        <x:f>SSum!H1</x:f>
        <x:v>Grantor</x:v>
      </x:c>
      <x:c r="B10" s="56" t="str">
        <x:f>SSum!H8</x:f>
        <x:v>D&amp;G Realty, LLC</x:v>
      </x:c>
    </x:row>
    <x:row r="11" spans="1:2" ht="15" customHeight="1" x14ac:dyDescent="0.25">
      <x:c r="A11" s="52" t="str">
        <x:f>SSum!I1</x:f>
        <x:v>Grantee</x:v>
      </x:c>
      <x:c r="B11" s="56" t="str">
        <x:f>SSum!I8</x:f>
        <x:v>138 Cedar Pointe, LLC</x:v>
      </x:c>
    </x:row>
    <x:row r="12" spans="1:2" ht="15" customHeight="1" x14ac:dyDescent="0.25">
      <x:c r="A12" s="52" t="str">
        <x:f>SSum!J1</x:f>
        <x:v>Property Rights</x:v>
      </x:c>
      <x:c r="B12" s="50" t="str">
        <x:f>SSum!J8</x:f>
        <x:v>Fee Simple</x:v>
      </x:c>
    </x:row>
    <x:row r="13" spans="1:2" ht="15" customHeight="1" x14ac:dyDescent="0.25">
      <x:c r="A13" s="57" t="str">
        <x:f>SSum!K1</x:f>
        <x:v>Occupancy ATOS</x:v>
      </x:c>
      <x:c r="B13" s="58" t="str">
        <x:f>SSum!K8</x:f>
        <x:v>Vacant</x:v>
      </x:c>
    </x:row>
    <x:row r="14" spans="1:2" ht="15" customHeight="1" x14ac:dyDescent="0.25">
      <x:c r="A14" s="52" t="str">
        <x:f>SSum!L1</x:f>
        <x:v>Verification</x:v>
      </x:c>
      <x:c r="B14" s="50" t="str">
        <x:f>SSum!L8</x:f>
        <x:v>Listing Broker</x:v>
      </x:c>
    </x:row>
    <x:row r="15" spans="1:2" ht="15" customHeight="1" x14ac:dyDescent="0.25">
      <x:c r="A15" s="495" t="s">
        <x:v>34</x:v>
      </x:c>
      <x:c r="B15" s="495"/>
    </x:row>
    <x:row r="16" spans="1:2" ht="15" customHeight="1" x14ac:dyDescent="0.25">
      <x:c r="A16" s="59" t="str">
        <x:f>SSum!M1</x:f>
        <x:v>Gross Building Area (SF)</x:v>
      </x:c>
      <x:c r="B16" s="60">
        <x:f>SSum!M8</x:f>
        <x:v>15200</x:v>
      </x:c>
    </x:row>
    <x:row r="17" spans="1:2" ht="15" customHeight="1" x14ac:dyDescent="0.25">
      <x:c r="A17" s="61" t="str">
        <x:f>SSum!N1</x:f>
        <x:v>Year Built</x:v>
      </x:c>
      <x:c r="B17" s="50">
        <x:f>SSum!N8</x:f>
        <x:v>2001</x:v>
      </x:c>
    </x:row>
    <x:row r="18" spans="1:2" ht="15" customHeight="1" x14ac:dyDescent="0.25">
      <x:c r="A18" s="59" t="str">
        <x:f>SSum!O1</x:f>
        <x:v>Site Size (SF)</x:v>
      </x:c>
      <x:c r="B18" s="60">
        <x:f>SSum!O8</x:f>
        <x:v>60113</x:v>
      </x:c>
    </x:row>
    <x:row r="19" spans="1:2" ht="15" customHeight="1" x14ac:dyDescent="0.25">
      <x:c r="A19" s="59" t="s">
        <x:v>228</x:v>
      </x:c>
      <x:c r="B19" s="405">
        <x:f>SSum!P8</x:f>
        <x:v>0.25285711909237601</x:v>
      </x:c>
    </x:row>
    <x:row r="20" spans="1:2" ht="15" customHeight="1" x14ac:dyDescent="0.25">
      <x:c r="A20" s="59" t="str">
        <x:f>SSum!R1</x:f>
        <x:v>Office Ratio</x:v>
      </x:c>
      <x:c r="B20" s="405">
        <x:f>SSum!R8</x:f>
        <x:v>0.27631578947368424</x:v>
      </x:c>
    </x:row>
    <x:row r="21" spans="1:2" ht="15" customHeight="1" x14ac:dyDescent="0.25">
      <x:c r="A21" s="59" t="str">
        <x:f>SSum!S1</x:f>
        <x:v>Quality</x:v>
      </x:c>
      <x:c r="B21" s="62" t="str">
        <x:f>SSum!S8</x:f>
        <x:v>Average</x:v>
      </x:c>
    </x:row>
    <x:row r="22" spans="1:2" ht="15" customHeight="1" x14ac:dyDescent="0.25">
      <x:c r="A22" s="59" t="str">
        <x:f>SSum!T1</x:f>
        <x:v>Effective Age/Condition</x:v>
      </x:c>
      <x:c r="B22" s="64">
        <x:f>SSum!T8</x:f>
        <x:v>10</x:v>
      </x:c>
    </x:row>
    <x:row r="23" spans="1:2" ht="15" customHeight="1" x14ac:dyDescent="0.25">
      <x:c r="A23" s="59" t="str">
        <x:f>SSum!V1</x:f>
        <x:v>Access</x:v>
      </x:c>
      <x:c r="B23" s="60" t="str">
        <x:f>SSum!V8</x:f>
        <x:v>Good</x:v>
      </x:c>
    </x:row>
    <x:row r="24" spans="1:2" ht="15" customHeight="1" x14ac:dyDescent="0.25">
      <x:c r="A24" s="59" t="str">
        <x:f>SSum!X1</x:f>
        <x:v>Parking Ratio</x:v>
      </x:c>
      <x:c r="B24" s="63">
        <x:f>SSum!X8</x:f>
        <x:v>2.1710526315789473</x:v>
      </x:c>
    </x:row>
    <x:row r="25" spans="1:2" ht="15" customHeight="1" x14ac:dyDescent="0.25">
      <x:c r="A25" s="61" t="str">
        <x:f>SSum!Y1</x:f>
        <x:v>Building Use</x:v>
      </x:c>
      <x:c r="B25" s="50" t="str">
        <x:f>SSum!Y8</x:f>
        <x:v xml:space="preserve">Industrial  </x:v>
      </x:c>
    </x:row>
    <x:row r="26" spans="1:2" ht="15" customHeight="1" x14ac:dyDescent="0.25">
      <x:c r="A26" s="59" t="str">
        <x:f>SSum!U1</x:f>
        <x:v>Eave Height</x:v>
      </x:c>
      <x:c r="B26" s="411">
        <x:f>SSum!U8</x:f>
        <x:v>18</x:v>
      </x:c>
    </x:row>
    <x:row r="27" spans="1:2" ht="15" customHeight="1" x14ac:dyDescent="0.25">
      <x:c r="A27" s="61" t="str">
        <x:f>SSum!Z1</x:f>
        <x:v>Loading</x:v>
      </x:c>
      <x:c r="B27" s="50" t="str">
        <x:f>SSum!Z8</x:f>
        <x:v>3 GL/1 DH</x:v>
      </x:c>
    </x:row>
    <x:row r="28" spans="1:2" ht="15" customHeight="1" x14ac:dyDescent="0.25">
      <x:c r="A28" s="59" t="str">
        <x:f>SSum!AA1</x:f>
        <x:v>Loading SF</x:v>
      </x:c>
      <x:c r="B28" s="60">
        <x:f>SSum!AA8</x:f>
        <x:v>3800</x:v>
      </x:c>
    </x:row>
    <x:row r="29" spans="1:2" ht="15" customHeight="1" x14ac:dyDescent="0.25">
      <x:c r="A29" s="495" t="s">
        <x:v>22</x:v>
      </x:c>
      <x:c r="B29" s="495"/>
    </x:row>
    <x:row r="30" spans="1:2" ht="15" customHeight="1" x14ac:dyDescent="0.25">
      <x:c r="A30" s="493" t="str">
        <x:f>SSum!AD8</x:f>
        <x:v xml:space="preserve">The sale of an industrial flex building located on the east side of Cedar Pointe Drive just east of Interstate 77 within the city limits of Mooresville in Iredell County, North Carolina. The property is currently owner-occupied dba Tiger Precision Products. This is believed to be an all-cash sale. </x:v>
      </x:c>
      <x:c r="B30" s="493"/>
    </x:row>
  </x:sheetData>
  <x:mergeCells count="7">
    <x:mergeCell ref="A30:B30"/>
    <x:mergeCell ref="A1:B1"/>
    <x:mergeCell ref="A2:B2"/>
    <x:mergeCell ref="A3:A4"/>
    <x:mergeCell ref="A6:B6"/>
    <x:mergeCell ref="A15:B15"/>
    <x:mergeCell ref="A29:B29"/>
  </x:mergeCells>
  <x:pageMargins left="0.7" right="0.7" top="0.75" bottom="0.75" header="0.3" footer="0.3"/>
  <x:pageSetup orientation="portrait"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E8AADAB-467D-42D7-9891-D04671CED7B6}" mc:Ignorable="x14ac xr xr2 xr3">
  <x:sheetPr>
    <x:tabColor theme="4" tint="-0.499984740745262"/>
  </x:sheetPr>
  <x:dimension ref="A1:B30"/>
  <x:sheetViews>
    <x:sheetView topLeftCell="A13" workbookViewId="0">
      <x:selection sqref="A1:B30"/>
    </x:sheetView>
  </x:sheetViews>
  <x:sheetFormatPr defaultRowHeight="15" customHeight="1" x14ac:dyDescent="0.25"/>
  <x:cols>
    <x:col min="1" max="2" width="22.7109375" style="65" customWidth="1"/>
    <x:col min="3" max="16384" width="9.140625" style="65"/>
  </x:cols>
  <x:sheetData>
    <x:row r="1" spans="1:2" ht="15" customHeight="1" x14ac:dyDescent="0.25">
      <x:c r="A1" s="494" t="s">
        <x:v>37</x:v>
      </x:c>
      <x:c r="B1" s="494" t="e">
        <x:f>SG!#REF!</x:f>
        <x:v>#REF!</x:v>
      </x:c>
    </x:row>
    <x:row r="2" spans="1:2" ht="15" customHeight="1" x14ac:dyDescent="0.25">
      <x:c r="A2" s="495" t="s">
        <x:v>32</x:v>
      </x:c>
      <x:c r="B2" s="495"/>
    </x:row>
    <x:row r="3" spans="1:2" ht="15" customHeight="1" x14ac:dyDescent="0.25">
      <x:c r="A3" s="493" t="str">
        <x:f>SSum!B1</x:f>
        <x:v>Address</x:v>
      </x:c>
      <x:c r="B3" s="51" t="str">
        <x:f>SSum!B9</x:f>
        <x:v>227 Old Hebron St</x:v>
      </x:c>
    </x:row>
    <x:row r="4" spans="1:2" ht="15" customHeight="1" x14ac:dyDescent="0.25">
      <x:c r="A4" s="493"/>
      <x:c r="B4" s="50" t="str">
        <x:f>SSum!C9</x:f>
        <x:v>Charlotte, NC</x:v>
      </x:c>
    </x:row>
    <x:row r="5" spans="1:2" ht="15" customHeight="1" x14ac:dyDescent="0.25">
      <x:c r="A5" s="50" t="str">
        <x:f>SSum!D1</x:f>
        <x:v>Parcel No.(s)</x:v>
      </x:c>
      <x:c r="B5" s="51" t="str">
        <x:f>SSum!D9</x:f>
        <x:v>205-171-24</x:v>
      </x:c>
    </x:row>
    <x:row r="6" spans="1:2" ht="15" customHeight="1" x14ac:dyDescent="0.25">
      <x:c r="A6" s="495" t="s">
        <x:v>33</x:v>
      </x:c>
      <x:c r="B6" s="495"/>
    </x:row>
    <x:row r="7" spans="1:2" ht="15" customHeight="1" x14ac:dyDescent="0.25">
      <x:c r="A7" s="52" t="str">
        <x:f>SSum!E1</x:f>
        <x:v>Date of Sale</x:v>
      </x:c>
      <x:c r="B7" s="53">
        <x:f>SSum!E9</x:f>
        <x:v>44119</x:v>
      </x:c>
    </x:row>
    <x:row r="8" spans="1:2" ht="15" customHeight="1" x14ac:dyDescent="0.25">
      <x:c r="A8" s="52" t="str">
        <x:f>SSum!F1</x:f>
        <x:v>Sale Price</x:v>
      </x:c>
      <x:c r="B8" s="54">
        <x:f>SSum!F9</x:f>
        <x:v>1725000</x:v>
      </x:c>
    </x:row>
    <x:row r="9" spans="1:2" ht="15" customHeight="1" x14ac:dyDescent="0.25">
      <x:c r="A9" s="52" t="str">
        <x:f>SSum!G1</x:f>
        <x:v>Price/SF</x:v>
      </x:c>
      <x:c r="B9" s="55">
        <x:f>SSum!G9</x:f>
        <x:v>134.01180857675575</x:v>
      </x:c>
    </x:row>
    <x:row r="10" spans="1:2" ht="15" customHeight="1" x14ac:dyDescent="0.25">
      <x:c r="A10" s="52" t="str">
        <x:f>SSum!H1</x:f>
        <x:v>Grantor</x:v>
      </x:c>
      <x:c r="B10" s="56" t="str">
        <x:f>SSum!H9</x:f>
        <x:v>OHR Properties, LLC</x:v>
      </x:c>
    </x:row>
    <x:row r="11" spans="1:2" ht="15" customHeight="1" x14ac:dyDescent="0.25">
      <x:c r="A11" s="52" t="str">
        <x:f>SSum!I1</x:f>
        <x:v>Grantee</x:v>
      </x:c>
      <x:c r="B11" s="56" t="str">
        <x:f>SSum!I9</x:f>
        <x:v>Hop Holdings, LLC</x:v>
      </x:c>
    </x:row>
    <x:row r="12" spans="1:2" ht="15" customHeight="1" x14ac:dyDescent="0.25">
      <x:c r="A12" s="52" t="str">
        <x:f>SSum!J1</x:f>
        <x:v>Property Rights</x:v>
      </x:c>
      <x:c r="B12" s="50" t="str">
        <x:f>SSum!J9</x:f>
        <x:v>Fee Simple</x:v>
      </x:c>
    </x:row>
    <x:row r="13" spans="1:2" ht="15" customHeight="1" x14ac:dyDescent="0.25">
      <x:c r="A13" s="57" t="str">
        <x:f>SSum!K1</x:f>
        <x:v>Occupancy ATOS</x:v>
      </x:c>
      <x:c r="B13" s="58" t="str">
        <x:f>SSum!K9</x:f>
        <x:v>Vacant</x:v>
      </x:c>
    </x:row>
    <x:row r="14" spans="1:2" ht="15" customHeight="1" x14ac:dyDescent="0.25">
      <x:c r="A14" s="52" t="str">
        <x:f>SSum!L1</x:f>
        <x:v>Verification</x:v>
      </x:c>
      <x:c r="B14" s="50" t="str">
        <x:f>SSum!L9</x:f>
        <x:v>Listing Broker</x:v>
      </x:c>
    </x:row>
    <x:row r="15" spans="1:2" ht="15" customHeight="1" x14ac:dyDescent="0.25">
      <x:c r="A15" s="495" t="s">
        <x:v>34</x:v>
      </x:c>
      <x:c r="B15" s="495"/>
    </x:row>
    <x:row r="16" spans="1:2" ht="15" customHeight="1" x14ac:dyDescent="0.25">
      <x:c r="A16" s="59" t="str">
        <x:f>SSum!M1</x:f>
        <x:v>Gross Building Area (SF)</x:v>
      </x:c>
      <x:c r="B16" s="60">
        <x:f>SSum!M9</x:f>
        <x:v>12872</x:v>
      </x:c>
    </x:row>
    <x:row r="17" spans="1:2" ht="15" customHeight="1" x14ac:dyDescent="0.25">
      <x:c r="A17" s="61" t="str">
        <x:f>SSum!N1</x:f>
        <x:v>Year Built</x:v>
      </x:c>
      <x:c r="B17" s="50">
        <x:f>SSum!N9</x:f>
        <x:v>1989</x:v>
      </x:c>
    </x:row>
    <x:row r="18" spans="1:2" ht="15" customHeight="1" x14ac:dyDescent="0.25">
      <x:c r="A18" s="59" t="str">
        <x:f>SSum!O1</x:f>
        <x:v>Site Size (SF)</x:v>
      </x:c>
      <x:c r="B18" s="60">
        <x:f>SSum!O9</x:f>
        <x:v>87120</x:v>
      </x:c>
    </x:row>
    <x:row r="19" spans="1:2" ht="15" customHeight="1" x14ac:dyDescent="0.25">
      <x:c r="A19" s="59" t="s">
        <x:v>228</x:v>
      </x:c>
      <x:c r="B19" s="405">
        <x:f>SSum!P9</x:f>
        <x:v>0.14775022956841138</x:v>
      </x:c>
    </x:row>
    <x:row r="20" spans="1:2" ht="15" customHeight="1" x14ac:dyDescent="0.25">
      <x:c r="A20" s="59" t="str">
        <x:f>SSum!R1</x:f>
        <x:v>Office Ratio</x:v>
      </x:c>
      <x:c r="B20" s="405">
        <x:f>SSum!R9</x:f>
        <x:v>0.30981976382846488</x:v>
      </x:c>
    </x:row>
    <x:row r="21" spans="1:2" ht="15" customHeight="1" x14ac:dyDescent="0.25">
      <x:c r="A21" s="59" t="str">
        <x:f>SSum!S1</x:f>
        <x:v>Quality</x:v>
      </x:c>
      <x:c r="B21" s="62" t="str">
        <x:f>SSum!S9</x:f>
        <x:v>Average</x:v>
      </x:c>
    </x:row>
    <x:row r="22" spans="1:2" ht="15" customHeight="1" x14ac:dyDescent="0.25">
      <x:c r="A22" s="59" t="str">
        <x:f>SSum!T1</x:f>
        <x:v>Effective Age/Condition</x:v>
      </x:c>
      <x:c r="B22" s="64">
        <x:f>SSum!T9</x:f>
        <x:v>10</x:v>
      </x:c>
    </x:row>
    <x:row r="23" spans="1:2" ht="15" customHeight="1" x14ac:dyDescent="0.25">
      <x:c r="A23" s="59" t="str">
        <x:f>SSum!V1</x:f>
        <x:v>Access</x:v>
      </x:c>
      <x:c r="B23" s="60" t="str">
        <x:f>SSum!V9</x:f>
        <x:v>Good</x:v>
      </x:c>
    </x:row>
    <x:row r="24" spans="1:2" ht="15" customHeight="1" x14ac:dyDescent="0.25">
      <x:c r="A24" s="59" t="str">
        <x:f>SSum!X1</x:f>
        <x:v>Parking Ratio</x:v>
      </x:c>
      <x:c r="B24" s="63">
        <x:f>SSum!X9</x:f>
        <x:v>1.0876320696084525</x:v>
      </x:c>
    </x:row>
    <x:row r="25" spans="1:2" ht="15" customHeight="1" x14ac:dyDescent="0.25">
      <x:c r="A25" s="61" t="str">
        <x:f>SSum!Y1</x:f>
        <x:v>Building Use</x:v>
      </x:c>
      <x:c r="B25" s="50" t="str">
        <x:f>SSum!Y9</x:f>
        <x:v xml:space="preserve">Industrial  </x:v>
      </x:c>
    </x:row>
    <x:row r="26" spans="1:2" ht="15" customHeight="1" x14ac:dyDescent="0.25">
      <x:c r="A26" s="59" t="str">
        <x:f>SSum!U1</x:f>
        <x:v>Eave Height</x:v>
      </x:c>
      <x:c r="B26" s="411">
        <x:f>SSum!U9</x:f>
        <x:v>21</x:v>
      </x:c>
    </x:row>
    <x:row r="27" spans="1:2" ht="15" customHeight="1" x14ac:dyDescent="0.25">
      <x:c r="A27" s="61" t="str">
        <x:f>SSum!Z1</x:f>
        <x:v>Loading</x:v>
      </x:c>
      <x:c r="B27" s="50" t="str">
        <x:f>SSum!Z9</x:f>
        <x:v>1 GL/2 DH</x:v>
      </x:c>
    </x:row>
    <x:row r="28" spans="1:2" ht="15" customHeight="1" x14ac:dyDescent="0.25">
      <x:c r="A28" s="59" t="str">
        <x:f>SSum!AA1</x:f>
        <x:v>Loading SF</x:v>
      </x:c>
      <x:c r="B28" s="60">
        <x:f>SSum!AA9</x:f>
        <x:v>4290.666666666667</x:v>
      </x:c>
    </x:row>
    <x:row r="29" spans="1:2" ht="15" customHeight="1" x14ac:dyDescent="0.25">
      <x:c r="A29" s="495" t="s">
        <x:v>22</x:v>
      </x:c>
      <x:c r="B29" s="495"/>
    </x:row>
    <x:row r="30" spans="1:2" ht="15" customHeight="1" x14ac:dyDescent="0.25">
      <x:c r="A30" s="493" t="str">
        <x:f>SSum!AD9</x:f>
        <x:v xml:space="preserve">The sale of an industrial flex building located on the north side of Old Hebron Road within the city limits of Charlotte in Mecklenburg County, North Carolina. The site slopes downward from the road frontage which provides for terrace-level, climate-controlled storage below the office portion of the building. The property is also improved with a 2,294-sf ancillary industrial building with two grade-level doors. West Town Bank &amp; Trust financed the deal with a loan in the amount of $1,705,200. </x:v>
      </x:c>
      <x:c r="B30" s="493"/>
    </x:row>
  </x:sheetData>
  <x:mergeCells count="7">
    <x:mergeCell ref="A30:B30"/>
    <x:mergeCell ref="A1:B1"/>
    <x:mergeCell ref="A2:B2"/>
    <x:mergeCell ref="A3:A4"/>
    <x:mergeCell ref="A6:B6"/>
    <x:mergeCell ref="A15:B15"/>
    <x:mergeCell ref="A29:B29"/>
  </x:mergeCells>
  <x:pageMargins left="0.7" right="0.7" top="0.75" bottom="0.75" header="0.3" footer="0.3"/>
  <x:pageSetup orientation="portrait" r:id="rId1"/>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FC698FC-AA8D-4A93-843E-5A9318D1F6E4}" mc:Ignorable="x14ac xr xr2 xr3">
  <x:sheetPr>
    <x:tabColor theme="4" tint="-0.499984740745262"/>
  </x:sheetPr>
  <x:dimension ref="A1:K30"/>
  <x:sheetViews>
    <x:sheetView workbookViewId="0">
      <x:selection activeCell="C9" sqref="C9"/>
    </x:sheetView>
  </x:sheetViews>
  <x:sheetFormatPr defaultRowHeight="15" customHeight="1" x14ac:dyDescent="0.25"/>
  <x:cols>
    <x:col min="1" max="2" width="22.7109375" style="65" customWidth="1"/>
    <x:col min="3" max="16384" width="9.140625" style="65"/>
  </x:cols>
  <x:sheetData>
    <x:row r="1" spans="1:11" ht="15" customHeight="1" x14ac:dyDescent="0.25">
      <x:c r="A1" s="494" t="s">
        <x:v>38</x:v>
      </x:c>
      <x:c r="B1" s="494" t="e">
        <x:f>SG!#REF!</x:f>
        <x:v>#REF!</x:v>
      </x:c>
    </x:row>
    <x:row r="2" spans="1:11" ht="15" customHeight="1" x14ac:dyDescent="0.25">
      <x:c r="A2" s="495" t="s">
        <x:v>32</x:v>
      </x:c>
      <x:c r="B2" s="495"/>
    </x:row>
    <x:row r="3" spans="1:11" ht="15" customHeight="1" x14ac:dyDescent="0.25">
      <x:c r="A3" s="493" t="str">
        <x:f>SSum!B1</x:f>
        <x:v>Address</x:v>
      </x:c>
      <x:c r="B3" s="51" t="str">
        <x:f>SSum!B10</x:f>
        <x:v>1020 Forsyth Ave</x:v>
      </x:c>
    </x:row>
    <x:row r="4" spans="1:11" ht="15" customHeight="1" x14ac:dyDescent="0.25">
      <x:c r="A4" s="493"/>
      <x:c r="B4" s="50" t="str">
        <x:f>SSum!C10</x:f>
        <x:v>Indian Trail, NC</x:v>
      </x:c>
    </x:row>
    <x:row r="5" spans="1:11" ht="15" customHeight="1" x14ac:dyDescent="0.25">
      <x:c r="A5" s="50" t="str">
        <x:f>SSum!D1</x:f>
        <x:v>Parcel No.(s)</x:v>
      </x:c>
      <x:c r="B5" s="51" t="str">
        <x:f>SSum!D10</x:f>
        <x:v>07-081-303</x:v>
      </x:c>
    </x:row>
    <x:row r="6" spans="1:11" ht="15" customHeight="1" x14ac:dyDescent="0.25">
      <x:c r="A6" s="495" t="s">
        <x:v>33</x:v>
      </x:c>
      <x:c r="B6" s="495"/>
    </x:row>
    <x:row r="7" spans="1:11" ht="15" customHeight="1" x14ac:dyDescent="0.25">
      <x:c r="A7" s="52" t="str">
        <x:f>SSum!E1</x:f>
        <x:v>Date of Sale</x:v>
      </x:c>
      <x:c r="B7" s="53">
        <x:f>SSum!E10</x:f>
        <x:v>43977</x:v>
      </x:c>
    </x:row>
    <x:row r="8" spans="1:11" ht="15" customHeight="1" x14ac:dyDescent="0.25">
      <x:c r="A8" s="52" t="str">
        <x:f>SSum!F1</x:f>
        <x:v>Sale Price</x:v>
      </x:c>
      <x:c r="B8" s="54">
        <x:f>SSum!F10</x:f>
        <x:v>1775000</x:v>
      </x:c>
      <x:c r="K8" s="65" t="s">
        <x:v>39</x:v>
      </x:c>
    </x:row>
    <x:row r="9" spans="1:11" ht="15" customHeight="1" x14ac:dyDescent="0.25">
      <x:c r="A9" s="52" t="str">
        <x:f>SSum!G1</x:f>
        <x:v>Price/SF</x:v>
      </x:c>
      <x:c r="B9" s="55">
        <x:f>SSum!G10</x:f>
        <x:v>123.26388888888889</x:v>
      </x:c>
    </x:row>
    <x:row r="10" spans="1:11" ht="15" customHeight="1" x14ac:dyDescent="0.25">
      <x:c r="A10" s="52" t="str">
        <x:f>SSum!H1</x:f>
        <x:v>Grantor</x:v>
      </x:c>
      <x:c r="B10" s="56" t="str">
        <x:f>SSum!H10</x:f>
        <x:v>Pierson Enterprises, LLC</x:v>
      </x:c>
    </x:row>
    <x:row r="11" spans="1:11" ht="15" customHeight="1" x14ac:dyDescent="0.25">
      <x:c r="A11" s="52" t="str">
        <x:f>SSum!I1</x:f>
        <x:v>Grantee</x:v>
      </x:c>
      <x:c r="B11" s="56" t="str">
        <x:f>SSum!I10</x:f>
        <x:v>Oakway Properties, LLC</x:v>
      </x:c>
    </x:row>
    <x:row r="12" spans="1:11" ht="15" customHeight="1" x14ac:dyDescent="0.25">
      <x:c r="A12" s="52" t="str">
        <x:f>SSum!J1</x:f>
        <x:v>Property Rights</x:v>
      </x:c>
      <x:c r="B12" s="50" t="str">
        <x:f>SSum!J10</x:f>
        <x:v>Leased Fee</x:v>
      </x:c>
    </x:row>
    <x:row r="13" spans="1:11" ht="15" customHeight="1" x14ac:dyDescent="0.25">
      <x:c r="A13" s="57" t="str">
        <x:f>SSum!K1</x:f>
        <x:v>Occupancy ATOS</x:v>
      </x:c>
      <x:c r="B13" s="58">
        <x:f>SSum!K10</x:f>
        <x:v>0.67</x:v>
      </x:c>
    </x:row>
    <x:row r="14" spans="1:11" ht="15" customHeight="1" x14ac:dyDescent="0.25">
      <x:c r="A14" s="52" t="str">
        <x:f>SSum!L1</x:f>
        <x:v>Verification</x:v>
      </x:c>
      <x:c r="B14" s="50" t="str">
        <x:f>SSum!L10</x:f>
        <x:v>Listing Broker</x:v>
      </x:c>
    </x:row>
    <x:row r="15" spans="1:11" ht="15" customHeight="1" x14ac:dyDescent="0.25">
      <x:c r="A15" s="495" t="s">
        <x:v>34</x:v>
      </x:c>
      <x:c r="B15" s="495"/>
    </x:row>
    <x:row r="16" spans="1:11" ht="15" customHeight="1" x14ac:dyDescent="0.25">
      <x:c r="A16" s="59" t="str">
        <x:f>SSum!M1</x:f>
        <x:v>Gross Building Area (SF)</x:v>
      </x:c>
      <x:c r="B16" s="60">
        <x:f>SSum!M10</x:f>
        <x:v>14400</x:v>
      </x:c>
    </x:row>
    <x:row r="17" spans="1:2" ht="15" customHeight="1" x14ac:dyDescent="0.25">
      <x:c r="A17" s="61" t="str">
        <x:f>SSum!N1</x:f>
        <x:v>Year Built</x:v>
      </x:c>
      <x:c r="B17" s="50">
        <x:f>SSum!N10</x:f>
        <x:v>2008</x:v>
      </x:c>
    </x:row>
    <x:row r="18" spans="1:2" ht="15" customHeight="1" x14ac:dyDescent="0.25">
      <x:c r="A18" s="59" t="str">
        <x:f>SSum!O1</x:f>
        <x:v>Site Size (SF)</x:v>
      </x:c>
      <x:c r="B18" s="60">
        <x:f>SSum!O10</x:f>
        <x:v>100624</x:v>
      </x:c>
    </x:row>
    <x:row r="19" spans="1:2" ht="15" customHeight="1" x14ac:dyDescent="0.25">
      <x:c r="A19" s="59" t="s">
        <x:v>228</x:v>
      </x:c>
      <x:c r="B19" s="405">
        <x:f>SSum!P10</x:f>
        <x:v>0.14310701224359992</x:v>
      </x:c>
    </x:row>
    <x:row r="20" spans="1:2" ht="15" customHeight="1" x14ac:dyDescent="0.25">
      <x:c r="A20" s="59" t="str">
        <x:f>SSum!R1</x:f>
        <x:v>Office Ratio</x:v>
      </x:c>
      <x:c r="B20" s="405">
        <x:f>SSum!R10</x:f>
        <x:v>0.49625000000000002</x:v>
      </x:c>
    </x:row>
    <x:row r="21" spans="1:2" ht="15" customHeight="1" x14ac:dyDescent="0.25">
      <x:c r="A21" s="59" t="str">
        <x:f>SSum!S1</x:f>
        <x:v>Quality</x:v>
      </x:c>
      <x:c r="B21" s="62" t="str">
        <x:f>SSum!S10</x:f>
        <x:v>Average</x:v>
      </x:c>
    </x:row>
    <x:row r="22" spans="1:2" ht="15" customHeight="1" x14ac:dyDescent="0.25">
      <x:c r="A22" s="59" t="str">
        <x:f>SSum!T1</x:f>
        <x:v>Effective Age/Condition</x:v>
      </x:c>
      <x:c r="B22" s="64">
        <x:f>SSum!T10</x:f>
        <x:v>5</x:v>
      </x:c>
    </x:row>
    <x:row r="23" spans="1:2" ht="15" customHeight="1" x14ac:dyDescent="0.25">
      <x:c r="A23" s="59" t="str">
        <x:f>SSum!V1</x:f>
        <x:v>Access</x:v>
      </x:c>
      <x:c r="B23" s="60" t="str">
        <x:f>SSum!V10</x:f>
        <x:v>Good</x:v>
      </x:c>
    </x:row>
    <x:row r="24" spans="1:2" ht="15" customHeight="1" x14ac:dyDescent="0.25">
      <x:c r="A24" s="59" t="str">
        <x:f>SSum!X1</x:f>
        <x:v>Parking Ratio</x:v>
      </x:c>
      <x:c r="B24" s="63">
        <x:f>SSum!X10</x:f>
        <x:v>1.9444444444444444</x:v>
      </x:c>
    </x:row>
    <x:row r="25" spans="1:2" ht="15" customHeight="1" x14ac:dyDescent="0.25">
      <x:c r="A25" s="61" t="str">
        <x:f>SSum!Y1</x:f>
        <x:v>Building Use</x:v>
      </x:c>
      <x:c r="B25" s="50" t="str">
        <x:f>SSum!Y10</x:f>
        <x:v xml:space="preserve">Industrial  </x:v>
      </x:c>
    </x:row>
    <x:row r="26" spans="1:2" ht="15" customHeight="1" x14ac:dyDescent="0.25">
      <x:c r="A26" s="59" t="str">
        <x:f>SSum!U1</x:f>
        <x:v>Eave Height</x:v>
      </x:c>
      <x:c r="B26" s="411">
        <x:f>SSum!U10</x:f>
        <x:v>18</x:v>
      </x:c>
    </x:row>
    <x:row r="27" spans="1:2" ht="15" customHeight="1" x14ac:dyDescent="0.25">
      <x:c r="A27" s="61" t="str">
        <x:f>SSum!Z1</x:f>
        <x:v>Loading</x:v>
      </x:c>
      <x:c r="B27" s="50" t="str">
        <x:f>SSum!Z10</x:f>
        <x:v>3 GL/2 DH</x:v>
      </x:c>
    </x:row>
    <x:row r="28" spans="1:2" ht="15" customHeight="1" x14ac:dyDescent="0.25">
      <x:c r="A28" s="59" t="str">
        <x:f>SSum!AA1</x:f>
        <x:v>Loading SF</x:v>
      </x:c>
      <x:c r="B28" s="60">
        <x:f>SSum!AA10</x:f>
        <x:v>2880</x:v>
      </x:c>
    </x:row>
    <x:row r="29" spans="1:2" ht="15" customHeight="1" x14ac:dyDescent="0.25">
      <x:c r="A29" s="495" t="s">
        <x:v>22</x:v>
      </x:c>
      <x:c r="B29" s="495"/>
    </x:row>
    <x:row r="30" spans="1:2" ht="15" customHeight="1" x14ac:dyDescent="0.25">
      <x:c r="A30" s="493" t="str">
        <x:f>SSum!AD10</x:f>
        <x:v>The sale of a multi-tenant industrial flex building located in Old Hickory Business Park just northeast of East Independence Boulevard within the town limits of Indian Trail in Union County, North Carolina. At the time of sale, two of the three suites were tenant-occupied. South State Bank financed the deal with a seven-year note in the amount of $1,500,000.</x:v>
      </x:c>
      <x:c r="B30" s="493"/>
    </x:row>
  </x:sheetData>
  <x:mergeCells count="7">
    <x:mergeCell ref="A30:B30"/>
    <x:mergeCell ref="A1:B1"/>
    <x:mergeCell ref="A2:B2"/>
    <x:mergeCell ref="A3:A4"/>
    <x:mergeCell ref="A6:B6"/>
    <x:mergeCell ref="A15:B15"/>
    <x:mergeCell ref="A29:B29"/>
  </x:mergeCells>
  <x:pageMargins left="0.7" right="0.7" top="0.75" bottom="0.75" header="0.3" footer="0.3"/>
  <x:pageSetup orientation="portrait" r:id="rId1"/>
</x:worksheet>
</file>

<file path=xl/worksheets/sheet8.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7746021-BD2F-4CE2-B968-47000FB38B74}" mc:Ignorable="x14ac xr xr2 xr3">
  <x:sheetPr>
    <x:tabColor theme="4" tint="-0.499984740745262"/>
  </x:sheetPr>
  <x:dimension ref="A2:N18"/>
  <x:sheetViews>
    <x:sheetView workbookViewId="0">
      <x:selection activeCell="G10" sqref="G10"/>
    </x:sheetView>
  </x:sheetViews>
  <x:sheetFormatPr defaultRowHeight="17.100000000000001" customHeight="1" x14ac:dyDescent="0.25"/>
  <x:cols>
    <x:col min="1" max="1" width="9.28515625" style="124" bestFit="1" customWidth="1"/>
    <x:col min="2" max="2" width="9.140625" style="124"/>
    <x:col min="3" max="3" width="9.140625" style="125"/>
    <x:col min="4" max="4" width="19.42578125" style="125" customWidth="1"/>
    <x:col min="5" max="5" width="25.5703125" style="125" customWidth="1"/>
    <x:col min="6" max="6" width="20" style="125" customWidth="1"/>
    <x:col min="7" max="7" width="24.140625" style="125" customWidth="1"/>
    <x:col min="8" max="8" width="9.140625" style="125"/>
    <x:col min="9" max="9" width="10.5703125" style="125" customWidth="1"/>
    <x:col min="10" max="10" width="18.42578125" style="125" bestFit="1" customWidth="1"/>
    <x:col min="11" max="11" width="16.28515625" style="125" bestFit="1" customWidth="1"/>
    <x:col min="12" max="13" width="15.140625" style="125" bestFit="1" customWidth="1"/>
    <x:col min="14" max="14" width="12.7109375" style="125" customWidth="1"/>
    <x:col min="15" max="16384" width="9.140625" style="125"/>
  </x:cols>
  <x:sheetData>
    <x:row r="2" spans="1:14" ht="17.100000000000001" customHeight="1" x14ac:dyDescent="0.25">
      <x:c r="A2" s="124" t="s">
        <x:v>62</x:v>
      </x:c>
    </x:row>
    <x:row r="3" spans="1:14" ht="17.100000000000001" customHeight="1" x14ac:dyDescent="0.25">
      <x:c r="D3" s="417"/>
      <x:c r="E3" s="417"/>
      <x:c r="F3" s="417"/>
      <x:c r="G3" s="417"/>
    </x:row>
    <x:row r="4" spans="1:14" ht="17.100000000000001" customHeight="1" x14ac:dyDescent="0.25">
      <x:c r="A4" s="124" t="s">
        <x:v>26</x:v>
      </x:c>
      <x:c r="B4" s="145">
        <x:f>SG!C35</x:f>
        <x:v>16268</x:v>
      </x:c>
      <x:c r="D4" s="127"/>
      <x:c r="E4" s="127" t="s">
        <x:v>12</x:v>
      </x:c>
      <x:c r="F4" s="127" t="s">
        <x:v>63</x:v>
      </x:c>
      <x:c r="G4" s="127" t="s">
        <x:v>64</x:v>
      </x:c>
      <x:c r="I4" s="418" t="s">
        <x:v>235</x:v>
      </x:c>
      <x:c r="J4" s="419">
        <x:v>1</x:v>
      </x:c>
      <x:c r="K4" s="419">
        <x:v>2</x:v>
      </x:c>
      <x:c r="L4" s="419">
        <x:v>3</x:v>
      </x:c>
      <x:c r="M4" s="419">
        <x:v>4</x:v>
      </x:c>
      <x:c r="N4" s="419">
        <x:v>5</x:v>
      </x:c>
    </x:row>
    <x:row r="5" spans="1:14" ht="17.100000000000001" customHeight="1" x14ac:dyDescent="0.25">
      <x:c r="A5" s="124" t="s">
        <x:v>72</x:v>
      </x:c>
      <x:c r="B5" s="146">
        <x:v>0.05</x:v>
      </x:c>
      <x:c r="D5" s="128" t="s">
        <x:v>40</x:v>
      </x:c>
      <x:c r="E5" s="129">
        <x:f>SG!D35</x:f>
        <x:v>19614</x:v>
      </x:c>
      <x:c r="F5" s="129">
        <x:f>ABS(E5-$B$4)</x:f>
        <x:v>3346</x:v>
      </x:c>
      <x:c r="G5" s="130">
        <x:f>B5</x:f>
        <x:v>0.05</x:v>
      </x:c>
      <x:c r="I5" s="420" t="s">
        <x:v>236</x:v>
      </x:c>
      <x:c r="J5" s="421">
        <x:f>(SG!$C$20-SG!D20)*SG!D16</x:f>
        <x:v>-2954.3330464716014</x:v>
      </x:c>
      <x:c r="K5" s="421">
        <x:f>(SG!$C$20-SG!E20)*SG!E16</x:f>
        <x:v>-2545.7610031964587</x:v>
      </x:c>
      <x:c r="L5" s="421">
        <x:f>(SG!$C$20-SG!F20)*SG!F16</x:f>
        <x:v>-3070.3712810425377</x:v>
      </x:c>
      <x:c r="M5" s="421">
        <x:f>(SG!$C$20-SG!G20)*SG!G16</x:f>
        <x:v>-3031.382837472338</x:v>
      </x:c>
      <x:c r="N5" s="421">
        <x:f>(SG!$C$20-SG!H20)*SG!H16</x:f>
        <x:v>-6075.8254241455625</x:v>
      </x:c>
    </x:row>
    <x:row r="6" spans="1:14" ht="17.100000000000001" customHeight="1" x14ac:dyDescent="0.25">
      <x:c r="D6" s="131" t="s">
        <x:v>26</x:v>
      </x:c>
      <x:c r="E6" s="132">
        <x:f>SG!C35</x:f>
        <x:v>16268</x:v>
      </x:c>
      <x:c r="F6" s="132" t="s">
        <x:v>65</x:v>
      </x:c>
      <x:c r="G6" s="133" t="s">
        <x:v>65</x:v>
      </x:c>
      <x:c r="I6" s="420" t="s">
        <x:v>341</x:v>
      </x:c>
      <x:c r="J6" s="422">
        <x:f>J5*15</x:f>
        <x:v>-44314.995697074024</x:v>
      </x:c>
      <x:c r="K6" s="422">
        <x:f t="shared" ref="K6:N6" si="0">K5*15</x:f>
        <x:v>-38186.415047946881</x:v>
      </x:c>
      <x:c r="L6" s="422">
        <x:f t="shared" si="0"/>
        <x:v>-46055.569215638068</x:v>
      </x:c>
      <x:c r="M6" s="422">
        <x:f t="shared" si="0"/>
        <x:v>-45470.74256208507</x:v>
      </x:c>
      <x:c r="N6" s="422">
        <x:f t="shared" si="0"/>
        <x:v>-91137.381362183442</x:v>
      </x:c>
    </x:row>
    <x:row r="7" spans="1:14" ht="17.100000000000001" customHeight="1" x14ac:dyDescent="0.25">
      <x:c r="D7" s="128" t="s">
        <x:v>42</x:v>
      </x:c>
      <x:c r="E7" s="129">
        <x:f>SG!F35</x:f>
        <x:v>15200</x:v>
      </x:c>
      <x:c r="F7" s="129">
        <x:f>ABS(E7-$B$4)</x:f>
        <x:v>1068</x:v>
      </x:c>
      <x:c r="G7" s="130">
        <x:f>F7/F5*B5*-1</x:f>
        <x:v>-1.5959354453078303E-2</x:v>
      </x:c>
      <x:c r="I7" s="423" t="s">
        <x:v>5</x:v>
      </x:c>
      <x:c r="J7" s="424">
        <x:f>SG!D8</x:f>
        <x:v>2275000</x:v>
      </x:c>
      <x:c r="K7" s="424">
        <x:f>SG!E8</x:f>
        <x:v>1845000</x:v>
      </x:c>
      <x:c r="L7" s="424">
        <x:f>SG!F8</x:f>
        <x:v>1575000</x:v>
      </x:c>
      <x:c r="M7" s="424">
        <x:f>SG!G8</x:f>
        <x:v>1725000</x:v>
      </x:c>
      <x:c r="N7" s="424">
        <x:f>SG!H8</x:f>
        <x:v>1775000</x:v>
      </x:c>
    </x:row>
    <x:row r="8" spans="1:14" ht="17.100000000000001" customHeight="1" x14ac:dyDescent="0.25">
      <x:c r="D8" s="128" t="s">
        <x:v>44</x:v>
      </x:c>
      <x:c r="E8" s="129">
        <x:f>SG!H35</x:f>
        <x:v>14400</x:v>
      </x:c>
      <x:c r="F8" s="129">
        <x:f>ABS(E8-$B$4)</x:f>
        <x:v>1868</x:v>
      </x:c>
      <x:c r="G8" s="130">
        <x:f>F8/F5*B5*-1</x:f>
        <x:v>-2.7913927077106993E-2</x:v>
      </x:c>
      <x:c r="I8" s="425" t="s">
        <x:v>237</x:v>
      </x:c>
      <x:c r="J8" s="426">
        <x:f>J6/J7</x:f>
        <x:v>-1.9479118987724846E-2</x:v>
      </x:c>
      <x:c r="K8" s="426">
        <x:f t="shared" ref="K8:M8" si="1">K6/K7</x:f>
        <x:v>-2.0697243928426493E-2</x:v>
      </x:c>
      <x:c r="L8" s="426">
        <x:f t="shared" si="1"/>
        <x:v>-2.9241631248024171E-2</x:v>
      </x:c>
      <x:c r="M8" s="426">
        <x:f t="shared" si="1"/>
        <x:v>-2.6359850760629026E-2</x:v>
      </x:c>
      <x:c r="N8" s="426">
        <x:f t="shared" ref="N8" si="2">N6/N7</x:f>
        <x:v>-5.1345003584328697E-2</x:v>
      </x:c>
    </x:row>
    <x:row r="9" spans="1:14" ht="17.100000000000001" customHeight="1" x14ac:dyDescent="0.25">
      <x:c r="D9" s="128" t="s">
        <x:v>43</x:v>
      </x:c>
      <x:c r="E9" s="129">
        <x:f>SG!G35</x:f>
        <x:v>12872</x:v>
      </x:c>
      <x:c r="F9" s="129">
        <x:f>ABS(E9-$B$4)</x:f>
        <x:v>3396</x:v>
      </x:c>
      <x:c r="G9" s="130">
        <x:f>F9/F5*B5*-1</x:f>
        <x:v>-5.0747160789001794E-2</x:v>
      </x:c>
      <x:c r="I9" s="420"/>
      <x:c r="J9" s="421"/>
      <x:c r="K9" s="421"/>
      <x:c r="L9" s="421"/>
      <x:c r="M9" s="421"/>
    </x:row>
    <x:row r="10" spans="1:14" ht="17.100000000000001" customHeight="1" x14ac:dyDescent="0.25">
      <x:c r="D10" s="128" t="s">
        <x:v>41</x:v>
      </x:c>
      <x:c r="E10" s="129">
        <x:f>SG!E35</x:f>
        <x:v>12840</x:v>
      </x:c>
      <x:c r="F10" s="129">
        <x:f>ABS(E10-$B$4)</x:f>
        <x:v>3428</x:v>
      </x:c>
      <x:c r="G10" s="130">
        <x:f>F10/F5*B5*-1</x:f>
        <x:v>-5.1225343693962949E-2</x:v>
      </x:c>
      <x:c r="I10" s="420"/>
      <x:c r="J10" s="421"/>
      <x:c r="K10" s="421"/>
      <x:c r="L10" s="421"/>
      <x:c r="M10" s="421"/>
    </x:row>
    <x:row r="11" spans="1:14" ht="17.100000000000001" customHeight="1" x14ac:dyDescent="0.25">
      <x:c r="D11" s="128"/>
      <x:c r="E11" s="129"/>
      <x:c r="F11" s="129"/>
      <x:c r="G11" s="130"/>
      <x:c r="I11" s="420"/>
      <x:c r="J11" s="421"/>
      <x:c r="K11" s="421"/>
      <x:c r="L11" s="421"/>
      <x:c r="M11" s="421"/>
    </x:row>
    <x:row r="12" spans="1:14" ht="17.100000000000001" customHeight="1" x14ac:dyDescent="0.25">
      <x:c r="D12" s="128"/>
      <x:c r="E12" s="129"/>
      <x:c r="F12" s="129"/>
      <x:c r="G12" s="130"/>
      <x:c r="I12" s="418" t="s">
        <x:v>235</x:v>
      </x:c>
      <x:c r="J12" s="419">
        <x:v>1</x:v>
      </x:c>
      <x:c r="K12" s="419">
        <x:v>2</x:v>
      </x:c>
      <x:c r="L12" s="419">
        <x:v>3</x:v>
      </x:c>
      <x:c r="M12" s="419">
        <x:v>4</x:v>
      </x:c>
      <x:c r="N12" s="419">
        <x:v>5</x:v>
      </x:c>
    </x:row>
    <x:row r="13" spans="1:14" ht="17.100000000000001" customHeight="1" x14ac:dyDescent="0.25">
      <x:c r="D13" s="128"/>
      <x:c r="E13" s="129"/>
      <x:c r="F13" s="129"/>
      <x:c r="G13" s="130"/>
      <x:c r="I13" s="420" t="s">
        <x:v>238</x:v>
      </x:c>
      <x:c r="J13" s="421">
        <x:f>SG!$C$25-SG!D25</x:f>
        <x:v>-2</x:v>
      </x:c>
      <x:c r="K13" s="421">
        <x:f>SG!$C$25-SG!E25</x:f>
        <x:v>0</x:v>
      </x:c>
      <x:c r="L13" s="421">
        <x:f>SG!$C$25-SG!F25</x:f>
        <x:v>0</x:v>
      </x:c>
      <x:c r="M13" s="421">
        <x:f>SG!$C$25-SG!G25</x:f>
        <x:v>-3</x:v>
      </x:c>
      <x:c r="N13" s="421">
        <x:f>SG!$C$25-SG!H25</x:f>
        <x:v>0</x:v>
      </x:c>
    </x:row>
    <x:row r="14" spans="1:14" ht="17.100000000000001" customHeight="1" x14ac:dyDescent="0.25">
      <x:c r="D14" s="128"/>
      <x:c r="E14" s="129"/>
      <x:c r="F14" s="129"/>
      <x:c r="G14" s="130"/>
      <x:c r="I14" s="423" t="s">
        <x:v>260</x:v>
      </x:c>
      <x:c r="J14" s="424">
        <x:f>0.71*ABS(J13)*SG!D16</x:f>
        <x:v>27851.879999999997</x:v>
      </x:c>
      <x:c r="K14" s="424">
        <x:f>0.71*ABS(K13)*SG!E16</x:f>
        <x:v>0</x:v>
      </x:c>
      <x:c r="L14" s="424">
        <x:f>0.71*ABS(L13)*SG!F16</x:f>
        <x:v>0</x:v>
      </x:c>
      <x:c r="M14" s="424">
        <x:f>0.71*ABS(M13)*SG!G16</x:f>
        <x:v>27417.359999999997</x:v>
      </x:c>
      <x:c r="N14" s="424">
        <x:f>0.71*ABS(N13)*SG!H16</x:f>
        <x:v>0</x:v>
      </x:c>
    </x:row>
    <x:row r="15" spans="1:14" ht="17.100000000000001" customHeight="1" x14ac:dyDescent="0.25">
      <x:c r="D15" s="128"/>
      <x:c r="E15" s="129"/>
      <x:c r="F15" s="129"/>
      <x:c r="G15" s="130"/>
      <x:c r="I15" s="425" t="s">
        <x:v>5</x:v>
      </x:c>
      <x:c r="J15" s="427">
        <x:f>SG!D8</x:f>
        <x:v>2275000</x:v>
      </x:c>
      <x:c r="K15" s="427">
        <x:f>SG!E8</x:f>
        <x:v>1845000</x:v>
      </x:c>
      <x:c r="L15" s="427">
        <x:f>SG!F8</x:f>
        <x:v>1575000</x:v>
      </x:c>
      <x:c r="M15" s="427">
        <x:f>SG!G8</x:f>
        <x:v>1725000</x:v>
      </x:c>
      <x:c r="N15" s="427">
        <x:f>SG!H8</x:f>
        <x:v>1775000</x:v>
      </x:c>
    </x:row>
    <x:row r="16" spans="1:14" ht="17.100000000000001" customHeight="1" x14ac:dyDescent="0.25">
      <x:c r="D16" s="417"/>
      <x:c r="E16" s="417"/>
      <x:c r="F16" s="417"/>
      <x:c r="G16" s="417"/>
      <x:c r="I16" s="425" t="s">
        <x:v>237</x:v>
      </x:c>
      <x:c r="J16" s="426">
        <x:f>J14/J15*-1</x:f>
        <x:v>-1.2242584615384614E-2</x:v>
      </x:c>
      <x:c r="K16" s="426">
        <x:f>K14/K15*-1</x:f>
        <x:v>0</x:v>
      </x:c>
      <x:c r="L16" s="426">
        <x:f>L14/L15*-1</x:f>
        <x:v>0</x:v>
      </x:c>
      <x:c r="M16" s="426">
        <x:f>M14/M15*-1</x:f>
        <x:v>-1.5894121739130435E-2</x:v>
      </x:c>
      <x:c r="N16" s="426">
        <x:f t="shared" ref="N16" si="3">N14/N15</x:f>
        <x:v>0</x:v>
      </x:c>
    </x:row>
    <x:row r="17" spans="4:7" ht="17.100000000000001" customHeight="1" x14ac:dyDescent="0.25">
      <x:c r="D17" s="134"/>
      <x:c r="E17" s="135"/>
      <x:c r="F17" s="134"/>
      <x:c r="G17" s="136"/>
    </x:row>
    <x:row r="18" spans="4:7" ht="16.5" customHeight="1" x14ac:dyDescent="0.25">
      <x:c r="D18" s="134"/>
      <x:c r="E18" s="135"/>
      <x:c r="F18" s="134"/>
      <x:c r="G18" s="136"/>
    </x:row>
  </x:sheetData>
  <x:sortState xmlns:xlrd2="http://schemas.microsoft.com/office/spreadsheetml/2017/richdata2" ref="D5:G10">
    <x:sortCondition descending="1" ref="E5:E10"/>
  </x:sortState>
  <x:pageMargins left="0.7" right="0.7" top="0.75" bottom="0.75" header="0.3" footer="0.3"/>
  <x:pageSetup orientation="portrait" r:id="rId1"/>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96391F6-C0D4-4FE7-8056-4A7B1E65D2F3}" mc:Ignorable="x14ac xr xr2 xr3">
  <x:sheetPr>
    <x:tabColor theme="4" tint="-0.499984740745262"/>
  </x:sheetPr>
  <x:dimension ref="A1:L72"/>
  <x:sheetViews>
    <x:sheetView topLeftCell="A49" workbookViewId="0">
      <x:selection activeCell="J33" sqref="J33"/>
    </x:sheetView>
  </x:sheetViews>
  <x:sheetFormatPr defaultRowHeight="12" x14ac:dyDescent="0.2"/>
  <x:cols>
    <x:col min="1" max="1" width="9.140625" style="72"/>
    <x:col min="2" max="2" width="23.85546875" style="72" customWidth="1"/>
    <x:col min="3" max="3" width="20.42578125" style="47" customWidth="1"/>
    <x:col min="4" max="4" width="19" style="72" customWidth="1"/>
    <x:col min="5" max="5" width="17.7109375" style="72" customWidth="1"/>
    <x:col min="6" max="6" width="18.85546875" style="72" customWidth="1"/>
    <x:col min="7" max="7" width="23.28515625" style="72" customWidth="1"/>
    <x:col min="8" max="8" width="17.28515625" style="471" customWidth="1"/>
    <x:col min="9" max="9" width="9.140625" style="72"/>
    <x:col min="10" max="10" width="32.42578125" style="72" customWidth="1"/>
    <x:col min="11" max="11" width="26.140625" style="72" customWidth="1"/>
    <x:col min="12" max="12" width="30.7109375" style="72" customWidth="1"/>
    <x:col min="13" max="16384" width="9.140625" style="72"/>
  </x:cols>
  <x:sheetData>
    <x:row r="1" spans="2:10" s="69" customFormat="1" x14ac:dyDescent="0.2">
      <x:c r="B1" s="66"/>
      <x:c r="C1" s="67" t="s">
        <x:v>26</x:v>
      </x:c>
      <x:c r="D1" s="67" t="s">
        <x:v>40</x:v>
      </x:c>
      <x:c r="E1" s="67" t="s">
        <x:v>41</x:v>
      </x:c>
      <x:c r="F1" s="67" t="s">
        <x:v>42</x:v>
      </x:c>
      <x:c r="G1" s="68" t="s">
        <x:v>43</x:v>
      </x:c>
      <x:c r="H1" s="68" t="s">
        <x:v>44</x:v>
      </x:c>
    </x:row>
    <x:row r="2" spans="2:10" s="69" customFormat="1" x14ac:dyDescent="0.2">
      <x:c r="B2" s="70" t="s">
        <x:v>32</x:v>
      </x:c>
      <x:c r="C2" s="100"/>
      <x:c r="D2" s="100"/>
      <x:c r="E2" s="100"/>
      <x:c r="F2" s="100"/>
      <x:c r="G2" s="100"/>
      <x:c r="H2" s="467"/>
    </x:row>
    <x:row r="3" spans="2:10" ht="15" x14ac:dyDescent="0.25">
      <x:c r="B3" s="498" t="s">
        <x:v>1</x:v>
      </x:c>
      <x:c r="C3" s="73" t="str">
        <x:f>SSum!B3</x:f>
        <x:v>4735 Dwight Evans Rd</x:v>
      </x:c>
      <x:c r="D3" s="73" t="str">
        <x:f>'S1'!B3</x:f>
        <x:v>10725 John Price Rd</x:v>
      </x:c>
      <x:c r="E3" s="73" t="str">
        <x:f>'S2'!B3</x:f>
        <x:v>1508 Industrial Dr</x:v>
      </x:c>
      <x:c r="F3" s="73" t="str">
        <x:f>'S3'!B3</x:f>
        <x:v>138 Cedar Pointe Dr</x:v>
      </x:c>
      <x:c r="G3" s="73" t="str">
        <x:f>'S4'!B3</x:f>
        <x:v>227 Old Hebron St</x:v>
      </x:c>
      <x:c r="H3" s="73" t="str">
        <x:f>'S5'!B3</x:f>
        <x:v>1020 Forsyth Ave</x:v>
      </x:c>
      <x:c r="J3" s="75"/>
    </x:row>
    <x:row r="4" spans="2:10" x14ac:dyDescent="0.2">
      <x:c r="B4" s="498"/>
      <x:c r="C4" s="73" t="str">
        <x:f>SSum!C3</x:f>
        <x:v>Charlotte, NC</x:v>
      </x:c>
      <x:c r="D4" s="73" t="str">
        <x:f>'S1'!B4</x:f>
        <x:v>Charlotte, NC</x:v>
      </x:c>
      <x:c r="E4" s="73" t="str">
        <x:f>'S2'!B4</x:f>
        <x:v>Matthews, NC</x:v>
      </x:c>
      <x:c r="F4" s="73" t="str">
        <x:f>'S3'!B4</x:f>
        <x:v>Mooresville, NC</x:v>
      </x:c>
      <x:c r="G4" s="73" t="str">
        <x:f>'S4'!B4</x:f>
        <x:v>Charlotte, NC</x:v>
      </x:c>
      <x:c r="H4" s="73" t="str">
        <x:f>'S5'!B4</x:f>
        <x:v>Indian Trail, NC</x:v>
      </x:c>
    </x:row>
    <x:row r="5" spans="2:10" x14ac:dyDescent="0.2">
      <x:c r="B5" s="76" t="s">
        <x:v>3</x:v>
      </x:c>
      <x:c r="C5" s="77" t="str">
        <x:f>SSum!D3</x:f>
        <x:v>145-301-22</x:v>
      </x:c>
      <x:c r="D5" s="73" t="str">
        <x:f>'S1'!B5</x:f>
        <x:v>201-181-27</x:v>
      </x:c>
      <x:c r="E5" s="73" t="str">
        <x:f>'S2'!B5</x:f>
        <x:v>193-211-07</x:v>
      </x:c>
      <x:c r="F5" s="73" t="str">
        <x:f>'S3'!B5</x:f>
        <x:v>4648-90-4665.000</x:v>
      </x:c>
      <x:c r="G5" s="73" t="str">
        <x:f>'S4'!B5</x:f>
        <x:v>205-171-24</x:v>
      </x:c>
      <x:c r="H5" s="73" t="str">
        <x:f>'S5'!B5</x:f>
        <x:v>07-081-303</x:v>
      </x:c>
    </x:row>
    <x:row r="6" spans="2:10" s="69" customFormat="1" x14ac:dyDescent="0.2">
      <x:c r="B6" s="70" t="s">
        <x:v>33</x:v>
      </x:c>
      <x:c r="C6" s="100"/>
      <x:c r="D6" s="100"/>
      <x:c r="E6" s="100"/>
      <x:c r="F6" s="100"/>
      <x:c r="G6" s="100"/>
      <x:c r="H6" s="100"/>
    </x:row>
    <x:row r="7" spans="2:10" x14ac:dyDescent="0.2">
      <x:c r="B7" s="76" t="s">
        <x:v>4</x:v>
      </x:c>
      <x:c r="C7" s="74"/>
      <x:c r="D7" s="78">
        <x:f>'S1'!B7</x:f>
        <x:v>44698</x:v>
      </x:c>
      <x:c r="E7" s="78">
        <x:f>'S2'!B7</x:f>
        <x:v>44547</x:v>
      </x:c>
      <x:c r="F7" s="78">
        <x:f>'S3'!B7</x:f>
        <x:v>43976</x:v>
      </x:c>
      <x:c r="G7" s="78">
        <x:f>'S4'!B7</x:f>
        <x:v>44119</x:v>
      </x:c>
      <x:c r="H7" s="78">
        <x:f>'S5'!B7</x:f>
        <x:v>43977</x:v>
      </x:c>
    </x:row>
    <x:row r="8" spans="2:10" x14ac:dyDescent="0.2">
      <x:c r="B8" s="76" t="s">
        <x:v>5</x:v>
      </x:c>
      <x:c r="C8" s="74"/>
      <x:c r="D8" s="80">
        <x:f>'S1'!B8</x:f>
        <x:v>2275000</x:v>
      </x:c>
      <x:c r="E8" s="80">
        <x:f>'S2'!B8</x:f>
        <x:v>1845000</x:v>
      </x:c>
      <x:c r="F8" s="80">
        <x:f>'S3'!B8</x:f>
        <x:v>1575000</x:v>
      </x:c>
      <x:c r="G8" s="80">
        <x:f>'S4'!B8</x:f>
        <x:v>1725000</x:v>
      </x:c>
      <x:c r="H8" s="80">
        <x:f>'S5'!B8</x:f>
        <x:v>1775000</x:v>
      </x:c>
    </x:row>
    <x:row r="9" spans="2:10" x14ac:dyDescent="0.2">
      <x:c r="B9" s="76" t="s">
        <x:v>6</x:v>
      </x:c>
      <x:c r="C9" s="74"/>
      <x:c r="D9" s="82">
        <x:f>'S1'!B9</x:f>
        <x:v>115.98857958600999</x:v>
      </x:c>
      <x:c r="E9" s="82">
        <x:f>'S2'!B9</x:f>
        <x:v>143.69158878504672</x:v>
      </x:c>
      <x:c r="F9" s="82">
        <x:f>'S3'!B9</x:f>
        <x:v>103.61842105263158</x:v>
      </x:c>
      <x:c r="G9" s="83">
        <x:f>'S4'!B9</x:f>
        <x:v>134.01180857675575</x:v>
      </x:c>
      <x:c r="H9" s="83">
        <x:f>'S5'!B9</x:f>
        <x:v>123.26388888888889</x:v>
      </x:c>
    </x:row>
    <x:row r="10" spans="2:10" ht="24" x14ac:dyDescent="0.2">
      <x:c r="B10" s="76" t="s">
        <x:v>7</x:v>
      </x:c>
      <x:c r="C10" s="74"/>
      <x:c r="D10" s="78" t="str">
        <x:f>'S1'!B10</x:f>
        <x:v>MSE Center LLC</x:v>
      </x:c>
      <x:c r="E10" s="73" t="str">
        <x:f>'S2'!B10</x:f>
        <x:v>Match Properties, LLC</x:v>
      </x:c>
      <x:c r="F10" s="78" t="str">
        <x:f>'S3'!B10</x:f>
        <x:v>D&amp;G Realty, LLC</x:v>
      </x:c>
      <x:c r="G10" s="78" t="str">
        <x:f>'S4'!B10</x:f>
        <x:v>OHR Properties, LLC</x:v>
      </x:c>
      <x:c r="H10" s="73" t="str">
        <x:f>'S5'!B10</x:f>
        <x:v>Pierson Enterprises, LLC</x:v>
      </x:c>
    </x:row>
    <x:row r="11" spans="2:10" ht="24" x14ac:dyDescent="0.2">
      <x:c r="B11" s="76" t="s">
        <x:v>8</x:v>
      </x:c>
      <x:c r="C11" s="74"/>
      <x:c r="D11" s="78" t="str">
        <x:f>'S1'!B11</x:f>
        <x:v>Sand Fiddlers Partners, LLC</x:v>
      </x:c>
      <x:c r="E11" s="73" t="str">
        <x:f>'S2'!B11</x:f>
        <x:v>Wilkat, LLC</x:v>
      </x:c>
      <x:c r="F11" s="78" t="str">
        <x:f>'S3'!B11</x:f>
        <x:v>138 Cedar Pointe, LLC</x:v>
      </x:c>
      <x:c r="G11" s="78" t="str">
        <x:f>'S4'!B11</x:f>
        <x:v>Hop Holdings, LLC</x:v>
      </x:c>
      <x:c r="H11" s="78" t="str">
        <x:f>'S5'!B11</x:f>
        <x:v>Oakway Properties, LLC</x:v>
      </x:c>
    </x:row>
    <x:row r="12" spans="2:10" x14ac:dyDescent="0.2">
      <x:c r="B12" s="76" t="s">
        <x:v>9</x:v>
      </x:c>
      <x:c r="C12" s="74"/>
      <x:c r="D12" s="78" t="str">
        <x:f>'S1'!B12</x:f>
        <x:v>Leased Fee</x:v>
      </x:c>
      <x:c r="E12" s="78" t="str">
        <x:f>'S2'!B12</x:f>
        <x:v>Fee Simple</x:v>
      </x:c>
      <x:c r="F12" s="78" t="str">
        <x:f>'S3'!B12</x:f>
        <x:v>Fee Simple</x:v>
      </x:c>
      <x:c r="G12" s="78" t="str">
        <x:f>'S4'!B12</x:f>
        <x:v>Fee Simple</x:v>
      </x:c>
      <x:c r="H12" s="78" t="str">
        <x:f>'S5'!B12</x:f>
        <x:v>Leased Fee</x:v>
      </x:c>
    </x:row>
    <x:row r="13" spans="2:10" x14ac:dyDescent="0.2">
      <x:c r="B13" s="76" t="s">
        <x:v>10</x:v>
      </x:c>
      <x:c r="C13" s="74"/>
      <x:c r="D13" s="84">
        <x:f>'S1'!B13</x:f>
        <x:v>0.5</x:v>
      </x:c>
      <x:c r="E13" s="84" t="str">
        <x:f>'S2'!B13</x:f>
        <x:v>Vacant</x:v>
      </x:c>
      <x:c r="F13" s="84" t="str">
        <x:f>'S3'!B13</x:f>
        <x:v>Vacant</x:v>
      </x:c>
      <x:c r="G13" s="85" t="str">
        <x:f>'S4'!B13</x:f>
        <x:v>Vacant</x:v>
      </x:c>
      <x:c r="H13" s="84">
        <x:f>'S5'!B13</x:f>
        <x:v>0.67</x:v>
      </x:c>
    </x:row>
    <x:row r="14" spans="2:10" x14ac:dyDescent="0.2">
      <x:c r="B14" s="76" t="s">
        <x:v>11</x:v>
      </x:c>
      <x:c r="C14" s="74"/>
      <x:c r="D14" s="78" t="str">
        <x:f>'S1'!B14</x:f>
        <x:v>Listing Broker</x:v>
      </x:c>
      <x:c r="E14" s="78" t="str">
        <x:f>'S2'!B14</x:f>
        <x:v>Listing Broker</x:v>
      </x:c>
      <x:c r="F14" s="78" t="str">
        <x:f>'S3'!B14</x:f>
        <x:v>Listing Broker</x:v>
      </x:c>
      <x:c r="G14" s="78" t="str">
        <x:f>'S4'!B14</x:f>
        <x:v>Listing Broker</x:v>
      </x:c>
      <x:c r="H14" s="78" t="str">
        <x:f>'S5'!B14</x:f>
        <x:v>Listing Broker</x:v>
      </x:c>
    </x:row>
    <x:row r="15" spans="2:10" s="69" customFormat="1" x14ac:dyDescent="0.2">
      <x:c r="B15" s="70" t="s">
        <x:v>34</x:v>
      </x:c>
      <x:c r="C15" s="100"/>
      <x:c r="D15" s="100"/>
      <x:c r="E15" s="100"/>
      <x:c r="F15" s="100"/>
      <x:c r="G15" s="100"/>
      <x:c r="H15" s="100"/>
    </x:row>
    <x:row r="16" spans="2:10" x14ac:dyDescent="0.2">
      <x:c r="B16" s="86" t="str">
        <x:f>SSum!M1</x:f>
        <x:v>Gross Building Area (SF)</x:v>
      </x:c>
      <x:c r="C16" s="87">
        <x:f>SSum!M3</x:f>
        <x:v>16268</x:v>
      </x:c>
      <x:c r="D16" s="87">
        <x:f>'S1'!B16</x:f>
        <x:v>19614</x:v>
      </x:c>
      <x:c r="E16" s="87">
        <x:f>'S2'!B16</x:f>
        <x:v>12840</x:v>
      </x:c>
      <x:c r="F16" s="87">
        <x:f>'S3'!B16</x:f>
        <x:v>15200</x:v>
      </x:c>
      <x:c r="G16" s="87">
        <x:f>'S4'!B16</x:f>
        <x:v>12872</x:v>
      </x:c>
      <x:c r="H16" s="87">
        <x:f>'S5'!B16</x:f>
        <x:v>14400</x:v>
      </x:c>
    </x:row>
    <x:row r="17" spans="1:10" x14ac:dyDescent="0.2">
      <x:c r="B17" s="89" t="str">
        <x:f>SSum!N1</x:f>
        <x:v>Year Built</x:v>
      </x:c>
      <x:c r="C17" s="73">
        <x:f>SSum!N3</x:f>
        <x:v>1989</x:v>
      </x:c>
      <x:c r="D17" s="73">
        <x:f>'S1'!B17</x:f>
        <x:v>1988</x:v>
      </x:c>
      <x:c r="E17" s="73">
        <x:f>'S2'!B17</x:f>
        <x:v>1986</x:v>
      </x:c>
      <x:c r="F17" s="73">
        <x:f>'S3'!B17</x:f>
        <x:v>2001</x:v>
      </x:c>
      <x:c r="G17" s="73">
        <x:f>'S4'!B17</x:f>
        <x:v>1989</x:v>
      </x:c>
      <x:c r="H17" s="73">
        <x:f>'S5'!B17</x:f>
        <x:v>2008</x:v>
      </x:c>
    </x:row>
    <x:row r="18" spans="1:10" x14ac:dyDescent="0.2">
      <x:c r="B18" s="86" t="str">
        <x:f>SSum!O1</x:f>
        <x:v>Site Size (SF)</x:v>
      </x:c>
      <x:c r="C18" s="87">
        <x:f>SSum!O3</x:f>
        <x:v>112820.4</x:v>
      </x:c>
      <x:c r="D18" s="87">
        <x:f>'S1'!B18</x:f>
        <x:v>60984</x:v>
      </x:c>
      <x:c r="E18" s="87">
        <x:f>'S2'!B18</x:f>
        <x:v>105981</x:v>
      </x:c>
      <x:c r="F18" s="87">
        <x:f>'S3'!B18</x:f>
        <x:v>60113</x:v>
      </x:c>
      <x:c r="G18" s="87">
        <x:f>'S4'!B18</x:f>
        <x:v>87120</x:v>
      </x:c>
      <x:c r="H18" s="87">
        <x:f>'S5'!B18</x:f>
        <x:v>100624</x:v>
      </x:c>
    </x:row>
    <x:row r="19" spans="1:10" s="406" customFormat="1" x14ac:dyDescent="0.2">
      <x:c r="B19" s="407" t="s">
        <x:v>228</x:v>
      </x:c>
      <x:c r="C19" s="408">
        <x:f>SSum!P3</x:f>
        <x:v>0.51214142123233031</x:v>
      </x:c>
      <x:c r="D19" s="408">
        <x:f>SSum!P6</x:f>
        <x:v>0.32162534435261708</x:v>
      </x:c>
      <x:c r="E19" s="408">
        <x:f>SSum!P7</x:f>
        <x:v>0.1211537917173833</x:v>
      </x:c>
      <x:c r="F19" s="408">
        <x:f>SSum!P8</x:f>
        <x:v>0.25285711909237601</x:v>
      </x:c>
      <x:c r="G19" s="408">
        <x:f>SSum!P9</x:f>
        <x:v>0.14775022956841138</x:v>
      </x:c>
      <x:c r="H19" s="408">
        <x:f>SSum!P10</x:f>
        <x:v>0.14310701224359992</x:v>
      </x:c>
    </x:row>
    <x:row r="20" spans="1:10" s="406" customFormat="1" x14ac:dyDescent="0.2">
      <x:c r="B20" s="407" t="str">
        <x:f>SSum!R1</x:f>
        <x:v>Office Ratio</x:v>
      </x:c>
      <x:c r="C20" s="408">
        <x:f>SSum!R3</x:f>
        <x:v>7.4317678878780422E-2</x:v>
      </x:c>
      <x:c r="D20" s="408">
        <x:f>'S1'!B20</x:f>
        <x:v>0.22494136841031917</x:v>
      </x:c>
      <x:c r="E20" s="408">
        <x:f>'S2'!B20</x:f>
        <x:v>0.27258566978193144</x:v>
      </x:c>
      <x:c r="F20" s="408">
        <x:f>'S3'!B20</x:f>
        <x:v>0.27631578947368424</x:v>
      </x:c>
      <x:c r="G20" s="408">
        <x:f>'S4'!B20</x:f>
        <x:v>0.30981976382846488</x:v>
      </x:c>
      <x:c r="H20" s="408">
        <x:f>'S5'!B20</x:f>
        <x:v>0.49625000000000002</x:v>
      </x:c>
    </x:row>
    <x:row r="21" spans="1:10" x14ac:dyDescent="0.2">
      <x:c r="B21" s="555" t="str">
        <x:f>SSum!S1</x:f>
        <x:v>Quality</x:v>
      </x:c>
      <x:c r="C21" s="90" t="str">
        <x:f>SSum!S3</x:f>
        <x:v>Average</x:v>
      </x:c>
      <x:c r="D21" s="90" t="str">
        <x:f>'S1'!B21</x:f>
        <x:v>Average</x:v>
      </x:c>
      <x:c r="E21" s="90" t="str">
        <x:f>'S2'!B21</x:f>
        <x:v>Average</x:v>
      </x:c>
      <x:c r="F21" s="90" t="str">
        <x:f>'S3'!B21</x:f>
        <x:v>Average</x:v>
      </x:c>
      <x:c r="G21" s="90" t="str">
        <x:f>'S4'!B21</x:f>
        <x:v>Average</x:v>
      </x:c>
      <x:c r="H21" s="90" t="str">
        <x:f>'S5'!B21</x:f>
        <x:v>Average</x:v>
      </x:c>
    </x:row>
    <x:row r="22" spans="1:10" x14ac:dyDescent="0.2">
      <x:c r="B22" s="86" t="str">
        <x:f>SSum!T1</x:f>
        <x:v>Effective Age/Condition</x:v>
      </x:c>
      <x:c r="C22" s="92">
        <x:f>SSum!T3</x:f>
        <x:v>10</x:v>
      </x:c>
      <x:c r="D22" s="92">
        <x:f>'S1'!B22</x:f>
        <x:v>10</x:v>
      </x:c>
      <x:c r="E22" s="93">
        <x:f>'S2'!B22</x:f>
        <x:v>10</x:v>
      </x:c>
      <x:c r="F22" s="93">
        <x:f>'S3'!B22</x:f>
        <x:v>10</x:v>
      </x:c>
      <x:c r="G22" s="92">
        <x:f>'S4'!B22</x:f>
        <x:v>10</x:v>
      </x:c>
      <x:c r="H22" s="92">
        <x:f>'S5'!B22</x:f>
        <x:v>5</x:v>
      </x:c>
    </x:row>
    <x:row r="23" spans="1:10" x14ac:dyDescent="0.2">
      <x:c r="B23" s="86" t="str">
        <x:f>SSum!V1</x:f>
        <x:v>Access</x:v>
      </x:c>
      <x:c r="C23" s="87" t="str">
        <x:f>SSum!V3</x:f>
        <x:v>Good</x:v>
      </x:c>
      <x:c r="D23" s="87" t="str">
        <x:f>'S1'!B23</x:f>
        <x:v>Good</x:v>
      </x:c>
      <x:c r="E23" s="87" t="str">
        <x:f>'S2'!B23</x:f>
        <x:v>Good</x:v>
      </x:c>
      <x:c r="F23" s="87" t="str">
        <x:f>'S3'!B23</x:f>
        <x:v>Good</x:v>
      </x:c>
      <x:c r="G23" s="87" t="str">
        <x:f>'S4'!B23</x:f>
        <x:v>Good</x:v>
      </x:c>
      <x:c r="H23" s="87" t="str">
        <x:f>'S5'!B23</x:f>
        <x:v>Good</x:v>
      </x:c>
    </x:row>
    <x:row r="24" spans="1:10" x14ac:dyDescent="0.2">
      <x:c r="B24" s="86" t="str">
        <x:f>SSum!X1</x:f>
        <x:v>Parking Ratio</x:v>
      </x:c>
      <x:c r="C24" s="91">
        <x:f>SSum!X3</x:f>
        <x:v>0.91727241259951542</x:v>
      </x:c>
      <x:c r="D24" s="91">
        <x:f>'S1'!B24</x:f>
        <x:v>1.4785357397777097</x:v>
      </x:c>
      <x:c r="E24" s="91">
        <x:f>'S2'!B24</x:f>
        <x:v>0.77881619937694702</x:v>
      </x:c>
      <x:c r="F24" s="91">
        <x:f>'S3'!B24</x:f>
        <x:v>2.1710526315789473</x:v>
      </x:c>
      <x:c r="G24" s="91">
        <x:f>'S4'!B24</x:f>
        <x:v>1.0876320696084525</x:v>
      </x:c>
      <x:c r="H24" s="91">
        <x:f>'S5'!B24</x:f>
        <x:v>1.9444444444444444</x:v>
      </x:c>
    </x:row>
    <x:row r="25" spans="1:10" s="416" customFormat="1" x14ac:dyDescent="0.2">
      <x:c r="A25" s="412"/>
      <x:c r="B25" s="413" t="str">
        <x:f>SSum!U1</x:f>
        <x:v>Eave Height</x:v>
      </x:c>
      <x:c r="C25" s="414">
        <x:f>SSum!U3</x:f>
        <x:v>18</x:v>
      </x:c>
      <x:c r="D25" s="414">
        <x:f>'S1'!B26</x:f>
        <x:v>20</x:v>
      </x:c>
      <x:c r="E25" s="414">
        <x:f>'S2'!B26</x:f>
        <x:v>18</x:v>
      </x:c>
      <x:c r="F25" s="414">
        <x:f>'S3'!B26</x:f>
        <x:v>18</x:v>
      </x:c>
      <x:c r="G25" s="414">
        <x:f>'S4'!B26</x:f>
        <x:v>21</x:v>
      </x:c>
      <x:c r="H25" s="414">
        <x:f>'S5'!B26</x:f>
        <x:v>18</x:v>
      </x:c>
    </x:row>
    <x:row r="26" spans="1:10" x14ac:dyDescent="0.2">
      <x:c r="B26" s="89" t="str">
        <x:f>SSum!Z1</x:f>
        <x:v>Loading</x:v>
      </x:c>
      <x:c r="C26" s="87" t="str">
        <x:f>SSum!Z3</x:f>
        <x:v>0 GL/3 DH</x:v>
      </x:c>
      <x:c r="D26" s="87" t="str">
        <x:f>'S1'!B27</x:f>
        <x:v>1 GL/3 DH</x:v>
      </x:c>
      <x:c r="E26" s="87" t="str">
        <x:f>'S2'!B27</x:f>
        <x:v>1 GL/2 DH</x:v>
      </x:c>
      <x:c r="F26" s="87" t="str">
        <x:f>'S3'!B27</x:f>
        <x:v>3 GL/1 DH</x:v>
      </x:c>
      <x:c r="G26" s="87" t="str">
        <x:f>'S4'!B27</x:f>
        <x:v>1 GL/2 DH</x:v>
      </x:c>
      <x:c r="H26" s="87" t="str">
        <x:f>'S5'!B27</x:f>
        <x:v>3 GL/2 DH</x:v>
      </x:c>
    </x:row>
    <x:row r="27" spans="1:10" x14ac:dyDescent="0.2">
      <x:c r="B27" s="86" t="str">
        <x:f>SSum!AA1</x:f>
        <x:v>Loading SF</x:v>
      </x:c>
      <x:c r="C27" s="87">
        <x:f>SSum!AA3</x:f>
        <x:v>5422.666666666667</x:v>
      </x:c>
      <x:c r="D27" s="87">
        <x:f>SSum!AA6</x:f>
        <x:v>4903.5</x:v>
      </x:c>
      <x:c r="E27" s="87">
        <x:f>SSum!AA7</x:f>
        <x:v>4280</x:v>
      </x:c>
      <x:c r="F27" s="87">
        <x:f>SSum!AA8</x:f>
        <x:v>3800</x:v>
      </x:c>
      <x:c r="G27" s="87">
        <x:f>SSum!AA9</x:f>
        <x:v>4290.666666666667</x:v>
      </x:c>
      <x:c r="H27" s="87">
        <x:f>SSum!AA10</x:f>
        <x:v>2880</x:v>
      </x:c>
    </x:row>
    <x:row r="28" spans="1:10" x14ac:dyDescent="0.2">
      <x:c r="B28" s="89" t="str">
        <x:f>SSum!AB1</x:f>
        <x:v>Other</x:v>
      </x:c>
      <x:c r="C28" s="87" t="str">
        <x:f>SSum!AB3</x:f>
        <x:v>None</x:v>
      </x:c>
      <x:c r="D28" s="87" t="str">
        <x:f>SSum!$AB6</x:f>
        <x:v>None</x:v>
      </x:c>
      <x:c r="E28" s="87" t="str">
        <x:f>SSum!$AB7</x:f>
        <x:v>None</x:v>
      </x:c>
      <x:c r="F28" s="87" t="str">
        <x:f>SSum!$AB8</x:f>
        <x:v>None</x:v>
      </x:c>
      <x:c r="G28" s="87" t="str">
        <x:f>SSum!$AB9</x:f>
        <x:v>Ancillary Bldg.</x:v>
      </x:c>
      <x:c r="H28" s="87" t="str">
        <x:f>SSum!$AB10</x:f>
        <x:v>None</x:v>
      </x:c>
    </x:row>
    <x:row r="29" spans="1:10" x14ac:dyDescent="0.2">
      <x:c r="B29" s="89"/>
      <x:c r="C29" s="87"/>
      <x:c r="D29" s="87"/>
      <x:c r="E29" s="87"/>
      <x:c r="F29" s="87"/>
      <x:c r="G29" s="87"/>
      <x:c r="H29" s="87"/>
    </x:row>
    <x:row r="30" spans="1:10" s="94" customFormat="1" x14ac:dyDescent="0.2">
      <x:c r="C30" s="97"/>
      <x:c r="D30" s="98"/>
      <x:c r="E30" s="98"/>
      <x:c r="F30" s="98"/>
      <x:c r="G30" s="98"/>
      <x:c r="H30" s="468"/>
    </x:row>
    <x:row r="31" spans="1:10" s="69" customFormat="1" x14ac:dyDescent="0.2">
      <x:c r="B31" s="99"/>
      <x:c r="C31" s="100" t="s">
        <x:v>26</x:v>
      </x:c>
      <x:c r="D31" s="100" t="str">
        <x:f t="shared" ref="D31:H31" si="0">D1</x:f>
        <x:v>Sale 1</x:v>
      </x:c>
      <x:c r="E31" s="100" t="str">
        <x:f t="shared" si="0"/>
        <x:v>Sale 2</x:v>
      </x:c>
      <x:c r="F31" s="100" t="str">
        <x:f t="shared" si="0"/>
        <x:v>Sale 3</x:v>
      </x:c>
      <x:c r="G31" s="100" t="str">
        <x:f t="shared" si="0"/>
        <x:v>Sale 4</x:v>
      </x:c>
      <x:c r="H31" s="100" t="str">
        <x:f t="shared" si="0"/>
        <x:v>Sale 5</x:v>
      </x:c>
    </x:row>
    <x:row r="32" spans="1:10" ht="15" x14ac:dyDescent="0.25">
      <x:c r="B32" s="499" t="s">
        <x:v>1</x:v>
      </x:c>
      <x:c r="C32" s="74" t="str">
        <x:f t="shared" ref="C32:H33" si="1">C3</x:f>
        <x:v>4735 Dwight Evans Rd</x:v>
      </x:c>
      <x:c r="D32" s="74" t="str">
        <x:f t="shared" si="1"/>
        <x:v>10725 John Price Rd</x:v>
      </x:c>
      <x:c r="E32" s="74" t="str">
        <x:f t="shared" si="1"/>
        <x:v>1508 Industrial Dr</x:v>
      </x:c>
      <x:c r="F32" s="74" t="str">
        <x:f t="shared" si="1"/>
        <x:v>138 Cedar Pointe Dr</x:v>
      </x:c>
      <x:c r="G32" s="74" t="str">
        <x:f t="shared" si="1"/>
        <x:v>227 Old Hebron St</x:v>
      </x:c>
      <x:c r="H32" s="73" t="str">
        <x:f t="shared" si="1"/>
        <x:v>1020 Forsyth Ave</x:v>
      </x:c>
      <x:c r="J32" s="101"/>
    </x:row>
    <x:row r="33" spans="2:8" x14ac:dyDescent="0.2">
      <x:c r="B33" s="499"/>
      <x:c r="C33" s="74" t="str">
        <x:f t="shared" si="1"/>
        <x:v>Charlotte, NC</x:v>
      </x:c>
      <x:c r="D33" s="74" t="str">
        <x:f t="shared" si="1"/>
        <x:v>Charlotte, NC</x:v>
      </x:c>
      <x:c r="E33" s="74" t="str">
        <x:f t="shared" si="1"/>
        <x:v>Matthews, NC</x:v>
      </x:c>
      <x:c r="F33" s="74" t="str">
        <x:f t="shared" si="1"/>
        <x:v>Mooresville, NC</x:v>
      </x:c>
      <x:c r="G33" s="74" t="str">
        <x:f t="shared" si="1"/>
        <x:v>Charlotte, NC</x:v>
      </x:c>
      <x:c r="H33" s="73" t="str">
        <x:f t="shared" si="1"/>
        <x:v>Indian Trail, NC</x:v>
      </x:c>
    </x:row>
    <x:row r="34" spans="2:8" s="102" customFormat="1" x14ac:dyDescent="0.2">
      <x:c r="B34" s="103" t="s">
        <x:v>5</x:v>
      </x:c>
      <x:c r="C34" s="81"/>
      <x:c r="D34" s="81">
        <x:f t="shared" ref="D34:H34" si="2">D8</x:f>
        <x:v>2275000</x:v>
      </x:c>
      <x:c r="E34" s="81">
        <x:f t="shared" si="2"/>
        <x:v>1845000</x:v>
      </x:c>
      <x:c r="F34" s="81">
        <x:f t="shared" si="2"/>
        <x:v>1575000</x:v>
      </x:c>
      <x:c r="G34" s="81">
        <x:f t="shared" si="2"/>
        <x:v>1725000</x:v>
      </x:c>
      <x:c r="H34" s="80">
        <x:f t="shared" si="2"/>
        <x:v>1775000</x:v>
      </x:c>
    </x:row>
    <x:row r="35" spans="2:8" x14ac:dyDescent="0.2">
      <x:c r="B35" s="104" t="s">
        <x:v>12</x:v>
      </x:c>
      <x:c r="C35" s="88">
        <x:f t="shared" ref="C35:H35" si="3">C16</x:f>
        <x:v>16268</x:v>
      </x:c>
      <x:c r="D35" s="88">
        <x:f t="shared" si="3"/>
        <x:v>19614</x:v>
      </x:c>
      <x:c r="E35" s="88">
        <x:f t="shared" si="3"/>
        <x:v>12840</x:v>
      </x:c>
      <x:c r="F35" s="88">
        <x:f t="shared" si="3"/>
        <x:v>15200</x:v>
      </x:c>
      <x:c r="G35" s="88">
        <x:f t="shared" si="3"/>
        <x:v>12872</x:v>
      </x:c>
      <x:c r="H35" s="87">
        <x:f t="shared" si="3"/>
        <x:v>14400</x:v>
      </x:c>
    </x:row>
    <x:row r="36" spans="2:8" s="102" customFormat="1" x14ac:dyDescent="0.2">
      <x:c r="B36" s="103" t="s">
        <x:v>6</x:v>
      </x:c>
      <x:c r="C36" s="81"/>
      <x:c r="D36" s="105">
        <x:f t="shared" ref="D36:H36" si="4">D9</x:f>
        <x:v>115.98857958600999</x:v>
      </x:c>
      <x:c r="E36" s="105">
        <x:f t="shared" si="4"/>
        <x:v>143.69158878504672</x:v>
      </x:c>
      <x:c r="F36" s="105">
        <x:f t="shared" si="4"/>
        <x:v>103.61842105263158</x:v>
      </x:c>
      <x:c r="G36" s="105">
        <x:f t="shared" si="4"/>
        <x:v>134.01180857675575</x:v>
      </x:c>
      <x:c r="H36" s="82">
        <x:f t="shared" si="4"/>
        <x:v>123.26388888888889</x:v>
      </x:c>
    </x:row>
    <x:row r="37" spans="2:8" s="69" customFormat="1" x14ac:dyDescent="0.2">
      <x:c r="B37" s="99" t="s">
        <x:v>45</x:v>
      </x:c>
      <x:c r="C37" s="100"/>
      <x:c r="D37" s="100"/>
      <x:c r="E37" s="100"/>
      <x:c r="F37" s="100"/>
      <x:c r="G37" s="100"/>
      <x:c r="H37" s="100"/>
    </x:row>
    <x:row r="38" spans="2:8" x14ac:dyDescent="0.2">
      <x:c r="B38" s="104" t="s">
        <x:v>9</x:v>
      </x:c>
      <x:c r="C38" s="74"/>
      <x:c r="D38" s="74" t="str">
        <x:f t="shared" ref="D38:H38" si="5">D12</x:f>
        <x:v>Leased Fee</x:v>
      </x:c>
      <x:c r="E38" s="74" t="str">
        <x:f t="shared" si="5"/>
        <x:v>Fee Simple</x:v>
      </x:c>
      <x:c r="F38" s="74" t="str">
        <x:f t="shared" si="5"/>
        <x:v>Fee Simple</x:v>
      </x:c>
      <x:c r="G38" s="74" t="str">
        <x:f t="shared" si="5"/>
        <x:v>Fee Simple</x:v>
      </x:c>
      <x:c r="H38" s="73" t="str">
        <x:f t="shared" si="5"/>
        <x:v>Leased Fee</x:v>
      </x:c>
    </x:row>
    <x:row r="39" spans="2:8" s="108" customFormat="1" x14ac:dyDescent="0.2">
      <x:c r="B39" s="106" t="s">
        <x:v>46</x:v>
      </x:c>
      <x:c r="C39" s="107"/>
      <x:c r="D39" s="456">
        <x:v>0</x:v>
      </x:c>
      <x:c r="E39" s="107">
        <x:v>0</x:v>
      </x:c>
      <x:c r="F39" s="107">
        <x:v>0</x:v>
      </x:c>
      <x:c r="G39" s="107">
        <x:v>0</x:v>
      </x:c>
      <x:c r="H39" s="469">
        <x:v>0</x:v>
      </x:c>
    </x:row>
    <x:row r="40" spans="2:8" s="102" customFormat="1" x14ac:dyDescent="0.2">
      <x:c r="B40" s="103" t="s">
        <x:v>47</x:v>
      </x:c>
      <x:c r="C40" s="81"/>
      <x:c r="D40" s="105">
        <x:f t="shared" ref="D40:H40" si="6">IF(D39&lt;&gt;0,(D36*(1+D39)),(D36))</x:f>
        <x:v>115.98857958600999</x:v>
      </x:c>
      <x:c r="E40" s="105">
        <x:f t="shared" si="6"/>
        <x:v>143.69158878504672</x:v>
      </x:c>
      <x:c r="F40" s="105">
        <x:f t="shared" si="6"/>
        <x:v>103.61842105263158</x:v>
      </x:c>
      <x:c r="G40" s="105">
        <x:f t="shared" si="6"/>
        <x:v>134.01180857675575</x:v>
      </x:c>
      <x:c r="H40" s="82">
        <x:f t="shared" si="6"/>
        <x:v>123.26388888888889</x:v>
      </x:c>
    </x:row>
    <x:row r="41" spans="2:8" x14ac:dyDescent="0.2">
      <x:c r="B41" s="104" t="s">
        <x:v>48</x:v>
      </x:c>
      <x:c r="C41" s="74"/>
      <x:c r="D41" s="74" t="s">
        <x:v>49</x:v>
      </x:c>
      <x:c r="E41" s="74" t="s">
        <x:v>49</x:v>
      </x:c>
      <x:c r="F41" s="74" t="s">
        <x:v>49</x:v>
      </x:c>
      <x:c r="G41" s="74" t="s">
        <x:v>49</x:v>
      </x:c>
      <x:c r="H41" s="73" t="s">
        <x:v>49</x:v>
      </x:c>
    </x:row>
    <x:row r="42" spans="2:8" s="108" customFormat="1" x14ac:dyDescent="0.2">
      <x:c r="B42" s="106" t="s">
        <x:v>46</x:v>
      </x:c>
      <x:c r="C42" s="107"/>
      <x:c r="D42" s="107">
        <x:v>0</x:v>
      </x:c>
      <x:c r="E42" s="107">
        <x:v>0</x:v>
      </x:c>
      <x:c r="F42" s="107">
        <x:v>0</x:v>
      </x:c>
      <x:c r="G42" s="107">
        <x:v>0</x:v>
      </x:c>
      <x:c r="H42" s="469">
        <x:v>0</x:v>
      </x:c>
    </x:row>
    <x:row r="43" spans="2:8" s="102" customFormat="1" x14ac:dyDescent="0.2">
      <x:c r="B43" s="103" t="s">
        <x:v>47</x:v>
      </x:c>
      <x:c r="C43" s="81"/>
      <x:c r="D43" s="105">
        <x:f t="shared" ref="D43:H43" si="7">IF(D42&lt;&gt;0,(D40*(1+D42)),D40)</x:f>
        <x:v>115.98857958600999</x:v>
      </x:c>
      <x:c r="E43" s="105">
        <x:f t="shared" si="7"/>
        <x:v>143.69158878504672</x:v>
      </x:c>
      <x:c r="F43" s="105">
        <x:f t="shared" si="7"/>
        <x:v>103.61842105263158</x:v>
      </x:c>
      <x:c r="G43" s="105">
        <x:f t="shared" si="7"/>
        <x:v>134.01180857675575</x:v>
      </x:c>
      <x:c r="H43" s="82">
        <x:f t="shared" si="7"/>
        <x:v>123.26388888888889</x:v>
      </x:c>
    </x:row>
    <x:row r="44" spans="2:8" x14ac:dyDescent="0.2">
      <x:c r="B44" s="104" t="s">
        <x:v>50</x:v>
      </x:c>
      <x:c r="C44" s="74"/>
      <x:c r="D44" s="79" t="s">
        <x:v>28</x:v>
      </x:c>
      <x:c r="E44" s="74" t="s">
        <x:v>28</x:v>
      </x:c>
      <x:c r="F44" s="74" t="s">
        <x:v>28</x:v>
      </x:c>
      <x:c r="G44" s="74" t="s">
        <x:v>28</x:v>
      </x:c>
      <x:c r="H44" s="73" t="s">
        <x:v>28</x:v>
      </x:c>
    </x:row>
    <x:row r="45" spans="2:8" s="108" customFormat="1" x14ac:dyDescent="0.2">
      <x:c r="B45" s="106" t="s">
        <x:v>46</x:v>
      </x:c>
      <x:c r="C45" s="107"/>
      <x:c r="D45" s="107">
        <x:v>0</x:v>
      </x:c>
      <x:c r="E45" s="107">
        <x:v>0</x:v>
      </x:c>
      <x:c r="F45" s="107">
        <x:v>0</x:v>
      </x:c>
      <x:c r="G45" s="107">
        <x:v>0</x:v>
      </x:c>
      <x:c r="H45" s="469">
        <x:v>0</x:v>
      </x:c>
    </x:row>
    <x:row r="46" spans="2:8" s="102" customFormat="1" x14ac:dyDescent="0.2">
      <x:c r="B46" s="103" t="s">
        <x:v>47</x:v>
      </x:c>
      <x:c r="C46" s="81"/>
      <x:c r="D46" s="105">
        <x:f t="shared" ref="D46:H46" si="8">IF(D45&lt;&gt;0,(D43*(1+D45)),D43)</x:f>
        <x:v>115.98857958600999</x:v>
      </x:c>
      <x:c r="E46" s="105">
        <x:f t="shared" si="8"/>
        <x:v>143.69158878504672</x:v>
      </x:c>
      <x:c r="F46" s="105">
        <x:f t="shared" si="8"/>
        <x:v>103.61842105263158</x:v>
      </x:c>
      <x:c r="G46" s="105">
        <x:f t="shared" si="8"/>
        <x:v>134.01180857675575</x:v>
      </x:c>
      <x:c r="H46" s="82">
        <x:f t="shared" si="8"/>
        <x:v>123.26388888888889</x:v>
      </x:c>
    </x:row>
    <x:row r="47" spans="2:8" x14ac:dyDescent="0.2">
      <x:c r="B47" s="104" t="s">
        <x:v>51</x:v>
      </x:c>
      <x:c r="C47" s="74"/>
      <x:c r="D47" s="109">
        <x:f t="shared" ref="D47:H47" si="9">D7</x:f>
        <x:v>44698</x:v>
      </x:c>
      <x:c r="E47" s="109">
        <x:f t="shared" si="9"/>
        <x:v>44547</x:v>
      </x:c>
      <x:c r="F47" s="109">
        <x:f t="shared" si="9"/>
        <x:v>43976</x:v>
      </x:c>
      <x:c r="G47" s="109">
        <x:f t="shared" si="9"/>
        <x:v>44119</x:v>
      </x:c>
      <x:c r="H47" s="238">
        <x:f t="shared" si="9"/>
        <x:v>43977</x:v>
      </x:c>
    </x:row>
    <x:row r="48" spans="2:8" s="108" customFormat="1" x14ac:dyDescent="0.2">
      <x:c r="B48" s="106" t="s">
        <x:v>46</x:v>
      </x:c>
      <x:c r="C48" s="107"/>
      <x:c r="D48" s="107">
        <x:f>0.33*0.01</x:f>
        <x:v>3.3000000000000004E-3</x:v>
      </x:c>
      <x:c r="E48" s="107">
        <x:f>1.67*0.01</x:f>
        <x:v>1.67E-2</x:v>
      </x:c>
      <x:c r="F48" s="107">
        <x:f>8.33*0.01</x:f>
        <x:v>8.3299999999999999E-2</x:v>
      </x:c>
      <x:c r="G48" s="107">
        <x:f>6.67*0.01</x:f>
        <x:v>6.6699999999999995E-2</x:v>
      </x:c>
      <x:c r="H48" s="469">
        <x:f>8.33*0.01</x:f>
        <x:v>8.3299999999999999E-2</x:v>
      </x:c>
    </x:row>
    <x:row r="49" spans="2:8" s="102" customFormat="1" x14ac:dyDescent="0.2">
      <x:c r="B49" s="103" t="s">
        <x:v>47</x:v>
      </x:c>
      <x:c r="C49" s="81"/>
      <x:c r="D49" s="105">
        <x:f t="shared" ref="D49:H49" si="10">IF(D48&lt;&gt;0,D46*(1+D48),D46)</x:f>
        <x:v>116.37134189864383</x:v>
      </x:c>
      <x:c r="E49" s="105">
        <x:f t="shared" si="10"/>
        <x:v>146.09123831775699</x:v>
      </x:c>
      <x:c r="F49" s="105">
        <x:f t="shared" si="10"/>
        <x:v>112.24983552631578</x:v>
      </x:c>
      <x:c r="G49" s="105">
        <x:f t="shared" si="10"/>
        <x:v>142.95039620882537</x:v>
      </x:c>
      <x:c r="H49" s="82">
        <x:f t="shared" si="10"/>
        <x:v>133.53177083333333</x:v>
      </x:c>
    </x:row>
    <x:row r="50" spans="2:8" s="69" customFormat="1" x14ac:dyDescent="0.2">
      <x:c r="B50" s="99" t="s">
        <x:v>52</x:v>
      </x:c>
      <x:c r="C50" s="384"/>
      <x:c r="D50" s="384"/>
      <x:c r="E50" s="384"/>
      <x:c r="F50" s="384"/>
      <x:c r="G50" s="384"/>
      <x:c r="H50" s="384"/>
    </x:row>
    <x:row r="51" spans="2:8" x14ac:dyDescent="0.2">
      <x:c r="B51" s="104" t="s">
        <x:v>53</x:v>
      </x:c>
      <x:c r="C51" s="74"/>
      <x:c r="D51" s="111">
        <x:v>0.05</x:v>
      </x:c>
      <x:c r="E51" s="111">
        <x:v>0</x:v>
      </x:c>
      <x:c r="F51" s="111">
        <x:v>0.1</x:v>
      </x:c>
      <x:c r="G51" s="111">
        <x:v>-0.1</x:v>
      </x:c>
      <x:c r="H51" s="408">
        <x:v>0.05</x:v>
      </x:c>
    </x:row>
    <x:row r="52" spans="2:8" x14ac:dyDescent="0.2">
      <x:c r="B52" s="104" t="str">
        <x:f>B16</x:f>
        <x:v>Gross Building Area (SF)</x:v>
      </x:c>
      <x:c r="C52" s="88">
        <x:f>C16</x:f>
        <x:v>16268</x:v>
      </x:c>
      <x:c r="D52" s="111">
        <x:v>0.05</x:v>
      </x:c>
      <x:c r="E52" s="111">
        <x:v>-0.05</x:v>
      </x:c>
      <x:c r="F52" s="111">
        <x:v>-0.02</x:v>
      </x:c>
      <x:c r="G52" s="111">
        <x:v>-0.05</x:v>
      </x:c>
      <x:c r="H52" s="408">
        <x:v>-0.03</x:v>
      </x:c>
    </x:row>
    <x:row r="53" spans="2:8" x14ac:dyDescent="0.2">
      <x:c r="B53" s="409" t="str">
        <x:f t="shared" ref="B53:C60" si="11">B19</x:f>
        <x:v>Coverage Ratio</x:v>
      </x:c>
      <x:c r="C53" s="410">
        <x:f t="shared" si="11"/>
        <x:v>0.51214142123233031</x:v>
      </x:c>
      <x:c r="D53" s="111">
        <x:v>0</x:v>
      </x:c>
      <x:c r="E53" s="111">
        <x:v>-0.02</x:v>
      </x:c>
      <x:c r="F53" s="111">
        <x:v>0</x:v>
      </x:c>
      <x:c r="G53" s="111">
        <x:v>0</x:v>
      </x:c>
      <x:c r="H53" s="408">
        <x:v>0</x:v>
      </x:c>
    </x:row>
    <x:row r="54" spans="2:8" x14ac:dyDescent="0.2">
      <x:c r="B54" s="409" t="str">
        <x:f t="shared" si="11"/>
        <x:v>Office Ratio</x:v>
      </x:c>
      <x:c r="C54" s="410">
        <x:f t="shared" si="11"/>
        <x:v>7.4317678878780422E-2</x:v>
      </x:c>
      <x:c r="D54" s="111">
        <x:v>-0.02</x:v>
      </x:c>
      <x:c r="E54" s="111">
        <x:v>-0.02</x:v>
      </x:c>
      <x:c r="F54" s="111">
        <x:v>-0.03</x:v>
      </x:c>
      <x:c r="G54" s="111">
        <x:v>-0.03</x:v>
      </x:c>
      <x:c r="H54" s="408">
        <x:v>-0.05</x:v>
      </x:c>
    </x:row>
    <x:row r="55" spans="2:8" x14ac:dyDescent="0.2">
      <x:c r="B55" s="104" t="str">
        <x:f t="shared" si="11"/>
        <x:v>Quality</x:v>
      </x:c>
      <x:c r="C55" s="456" t="str">
        <x:f t="shared" si="11"/>
        <x:v>Average</x:v>
      </x:c>
      <x:c r="D55" s="111">
        <x:v>0</x:v>
      </x:c>
      <x:c r="E55" s="111">
        <x:v>0</x:v>
      </x:c>
      <x:c r="F55" s="111">
        <x:v>0</x:v>
      </x:c>
      <x:c r="G55" s="111">
        <x:v>0</x:v>
      </x:c>
      <x:c r="H55" s="408">
        <x:v>0</x:v>
      </x:c>
    </x:row>
    <x:row r="56" spans="2:8" x14ac:dyDescent="0.2">
      <x:c r="B56" s="104" t="str">
        <x:f t="shared" si="11"/>
        <x:v>Effective Age/Condition</x:v>
      </x:c>
      <x:c r="C56" s="476">
        <x:f t="shared" si="11"/>
        <x:v>10</x:v>
      </x:c>
      <x:c r="D56" s="457">
        <x:v>0</x:v>
      </x:c>
      <x:c r="E56" s="111">
        <x:v>0</x:v>
      </x:c>
      <x:c r="F56" s="111">
        <x:v>0</x:v>
      </x:c>
      <x:c r="G56" s="111">
        <x:v>0</x:v>
      </x:c>
      <x:c r="H56" s="408">
        <x:v>-0.05</x:v>
      </x:c>
    </x:row>
    <x:row r="57" spans="2:8" x14ac:dyDescent="0.2">
      <x:c r="B57" s="104" t="str">
        <x:f t="shared" si="11"/>
        <x:v>Access</x:v>
      </x:c>
      <x:c r="C57" s="456" t="str">
        <x:f t="shared" si="11"/>
        <x:v>Good</x:v>
      </x:c>
      <x:c r="D57" s="111">
        <x:v>0</x:v>
      </x:c>
      <x:c r="E57" s="111">
        <x:v>0</x:v>
      </x:c>
      <x:c r="F57" s="111">
        <x:v>0</x:v>
      </x:c>
      <x:c r="G57" s="111">
        <x:v>0</x:v>
      </x:c>
      <x:c r="H57" s="408">
        <x:v>0</x:v>
      </x:c>
    </x:row>
    <x:row r="58" spans="2:8" x14ac:dyDescent="0.2">
      <x:c r="B58" s="112" t="str">
        <x:f t="shared" si="11"/>
        <x:v>Parking Ratio</x:v>
      </x:c>
      <x:c r="C58" s="113">
        <x:f t="shared" si="11"/>
        <x:v>0.91727241259951542</x:v>
      </x:c>
      <x:c r="D58" s="111">
        <x:v>0</x:v>
      </x:c>
      <x:c r="E58" s="111">
        <x:v>0</x:v>
      </x:c>
      <x:c r="F58" s="111">
        <x:v>0</x:v>
      </x:c>
      <x:c r="G58" s="111">
        <x:v>0</x:v>
      </x:c>
      <x:c r="H58" s="408">
        <x:v>0</x:v>
      </x:c>
    </x:row>
    <x:row r="59" spans="2:8" x14ac:dyDescent="0.2">
      <x:c r="B59" s="104" t="str">
        <x:f t="shared" si="11"/>
        <x:v>Eave Height</x:v>
      </x:c>
      <x:c r="C59" s="415">
        <x:f t="shared" si="11"/>
        <x:v>18</x:v>
      </x:c>
      <x:c r="D59" s="111">
        <x:v>-0.01</x:v>
      </x:c>
      <x:c r="E59" s="111">
        <x:v>0</x:v>
      </x:c>
      <x:c r="F59" s="111">
        <x:v>0</x:v>
      </x:c>
      <x:c r="G59" s="111">
        <x:v>-0.02</x:v>
      </x:c>
      <x:c r="H59" s="408">
        <x:v>0</x:v>
      </x:c>
    </x:row>
    <x:row r="60" spans="2:8" x14ac:dyDescent="0.2">
      <x:c r="B60" s="104" t="str">
        <x:f t="shared" si="11"/>
        <x:v>Loading</x:v>
      </x:c>
      <x:c r="C60" s="74" t="str">
        <x:f t="shared" si="11"/>
        <x:v>0 GL/3 DH</x:v>
      </x:c>
      <x:c r="D60" s="111">
        <x:v>0</x:v>
      </x:c>
      <x:c r="E60" s="111">
        <x:v>0</x:v>
      </x:c>
      <x:c r="F60" s="111">
        <x:v>0</x:v>
      </x:c>
      <x:c r="G60" s="111">
        <x:v>0</x:v>
      </x:c>
      <x:c r="H60" s="408">
        <x:v>-0.02</x:v>
      </x:c>
    </x:row>
    <x:row r="61" spans="2:8" x14ac:dyDescent="0.2">
      <x:c r="B61" s="389" t="s">
        <x:v>20</x:v>
      </x:c>
      <x:c r="C61" s="88" t="str">
        <x:f>C28</x:f>
        <x:v>None</x:v>
      </x:c>
      <x:c r="D61" s="111">
        <x:v>0</x:v>
      </x:c>
      <x:c r="E61" s="111">
        <x:v>0</x:v>
      </x:c>
      <x:c r="F61" s="111">
        <x:v>0</x:v>
      </x:c>
      <x:c r="G61" s="111">
        <x:v>-0.06</x:v>
      </x:c>
      <x:c r="H61" s="408">
        <x:v>0</x:v>
      </x:c>
    </x:row>
    <x:row r="62" spans="2:8" x14ac:dyDescent="0.2">
      <x:c r="B62" s="104" t="s">
        <x:v>54</x:v>
      </x:c>
      <x:c r="D62" s="114">
        <x:f t="shared" ref="D62:H62" si="12">SUM(D51:D61)</x:f>
        <x:v>7.0000000000000007E-2</x:v>
      </x:c>
      <x:c r="E62" s="114">
        <x:f t="shared" si="12"/>
        <x:v>-9.0000000000000011E-2</x:v>
      </x:c>
      <x:c r="F62" s="114">
        <x:f t="shared" si="12"/>
        <x:v>0.05</x:v>
      </x:c>
      <x:c r="G62" s="114">
        <x:f t="shared" si="12"/>
        <x:v>-0.26</x:v>
      </x:c>
      <x:c r="H62" s="470">
        <x:f t="shared" si="12"/>
        <x:v>-0.1</x:v>
      </x:c>
    </x:row>
    <x:row r="63" spans="2:8" s="118" customFormat="1" x14ac:dyDescent="0.2">
      <x:c r="B63" s="115" t="s">
        <x:v>47</x:v>
      </x:c>
      <x:c r="C63" s="116"/>
      <x:c r="D63" s="117">
        <x:f t="shared" ref="D63:H63" si="13">D49*(1+D62)</x:f>
        <x:v>124.51733583154891</x:v>
      </x:c>
      <x:c r="E63" s="117">
        <x:f t="shared" si="13"/>
        <x:v>132.94302686915887</x:v>
      </x:c>
      <x:c r="F63" s="117">
        <x:f t="shared" si="13"/>
        <x:v>117.86232730263157</x:v>
      </x:c>
      <x:c r="G63" s="117">
        <x:f t="shared" si="13"/>
        <x:v>105.78329319453077</x:v>
      </x:c>
      <x:c r="H63" s="117">
        <x:f t="shared" si="13"/>
        <x:v>120.17859374999999</x:v>
      </x:c>
    </x:row>
    <x:row r="66" spans="2:12" ht="17.100000000000001" customHeight="1" x14ac:dyDescent="0.2">
      <x:c r="B66" s="119"/>
      <x:c r="C66" s="120" t="s">
        <x:v>55</x:v>
      </x:c>
      <x:c r="D66" s="120" t="s">
        <x:v>56</x:v>
      </x:c>
      <x:c r="E66" s="120" t="s">
        <x:v>57</x:v>
      </x:c>
      <x:c r="F66" s="120" t="s">
        <x:v>58</x:v>
      </x:c>
      <x:c r="G66" s="120" t="s">
        <x:v>59</x:v>
      </x:c>
      <x:c r="J66" s="500" t="s">
        <x:v>67</x:v>
      </x:c>
      <x:c r="K66" s="501"/>
      <x:c r="L66" s="502"/>
    </x:row>
    <x:row r="67" spans="2:12" ht="17.100000000000001" customHeight="1" x14ac:dyDescent="0.2">
      <x:c r="B67" s="121" t="s">
        <x:v>60</x:v>
      </x:c>
      <x:c r="C67" s="122">
        <x:f>MIN(D36:H36)</x:f>
        <x:v>103.61842105263158</x:v>
      </x:c>
      <x:c r="D67" s="122">
        <x:f>MAX(D36:H36)</x:f>
        <x:v>143.69158878504672</x:v>
      </x:c>
      <x:c r="E67" s="122">
        <x:f>AVERAGE(D36:H36)</x:f>
        <x:v>124.11485737786658</x:v>
      </x:c>
      <x:c r="F67" s="122">
        <x:f>MEDIAN(D36:H36)</x:f>
        <x:v>123.26388888888889</x:v>
      </x:c>
      <x:c r="G67" s="122">
        <x:f>_xlfn.STDEV.P(D36:H36)</x:f>
        <x:v>13.914470854302195</x:v>
      </x:c>
      <x:c r="J67" s="503" t="s">
        <x:v>68</x:v>
      </x:c>
      <x:c r="K67" s="504"/>
      <x:c r="L67" s="505"/>
    </x:row>
    <x:row r="68" spans="2:12" ht="17.100000000000001" customHeight="1" x14ac:dyDescent="0.2">
      <x:c r="B68" s="123" t="s">
        <x:v>61</x:v>
      </x:c>
      <x:c r="C68" s="122">
        <x:f>MIN(D63:H63)</x:f>
        <x:v>105.78329319453077</x:v>
      </x:c>
      <x:c r="D68" s="122">
        <x:f>MAX(D63:H63)</x:f>
        <x:v>132.94302686915887</x:v>
      </x:c>
      <x:c r="E68" s="122">
        <x:f>AVERAGE(D63:H63)</x:f>
        <x:v>120.256915389574</x:v>
      </x:c>
      <x:c r="F68" s="122">
        <x:f>MEDIAN(D63:H63)</x:f>
        <x:v>120.17859374999999</x:v>
      </x:c>
      <x:c r="G68" s="122">
        <x:f>_xlfn.STDEV.P(D63:H63)</x:f>
        <x:v>8.8804789583113468</x:v>
      </x:c>
      <x:c r="J68" s="138" t="s">
        <x:v>12</x:v>
      </x:c>
      <x:c r="K68" s="139" t="s">
        <x:v>69</x:v>
      </x:c>
      <x:c r="L68" s="140" t="s">
        <x:v>70</x:v>
      </x:c>
    </x:row>
    <x:row r="69" spans="2:12" ht="15" x14ac:dyDescent="0.2">
      <x:c r="J69" s="141">
        <x:f>SSum!M3</x:f>
        <x:v>16268</x:v>
      </x:c>
      <x:c r="K69" s="142">
        <x:v>120</x:v>
      </x:c>
      <x:c r="L69" s="143">
        <x:f>J69*K69</x:f>
        <x:v>1952160</x:v>
      </x:c>
    </x:row>
    <x:row r="70" spans="2:12" ht="15" x14ac:dyDescent="0.2">
      <x:c r="J70" s="496" t="s">
        <x:v>71</x:v>
      </x:c>
      <x:c r="K70" s="497"/>
      <x:c r="L70" s="144">
        <x:v>1950000</x:v>
      </x:c>
    </x:row>
    <x:row r="71" spans="2:12" x14ac:dyDescent="0.2">
      <x:c r="C71" s="72"/>
    </x:row>
    <x:row r="72" spans="2:12" x14ac:dyDescent="0.2">
      <x:c r="B72" s="102"/>
      <x:c r="C72" s="72"/>
    </x:row>
  </x:sheetData>
  <x:mergeCells count="5">
    <x:mergeCell ref="J70:K70"/>
    <x:mergeCell ref="B3:B4"/>
    <x:mergeCell ref="B32:B33"/>
    <x:mergeCell ref="J66:L66"/>
    <x:mergeCell ref="J67:L67"/>
  </x:mergeCells>
  <x:pageMargins left="0.7" right="0.7" top="0.75" bottom="0.75" header="0.3" footer="0.3"/>
  <x:pageSetup orientation="portrait" r:id="rId1"/>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4066D48-2A45-439E-8E6D-BC2D86EC2204}" mc:Ignorable="x14ac xr xr2 xr3">
  <x:sheetPr>
    <x:tabColor rgb="FFC00000"/>
  </x:sheetPr>
  <x:dimension ref="A1:AD43"/>
  <x:sheetViews>
    <x:sheetView workbookViewId="0">
      <x:pane ySplit="1" topLeftCell="A2" activePane="bottomLeft" state="frozen"/>
      <x:selection activeCell="G24" sqref="G24"/>
      <x:selection pane="bottomLeft" activeCell="T19" sqref="T19"/>
    </x:sheetView>
  </x:sheetViews>
  <x:sheetFormatPr defaultRowHeight="12" x14ac:dyDescent="0.25"/>
  <x:cols>
    <x:col min="1" max="1" width="14.140625" style="24" customWidth="1"/>
    <x:col min="2" max="2" width="27.140625" style="25" customWidth="1"/>
    <x:col min="3" max="3" width="21.140625" style="25" customWidth="1"/>
    <x:col min="4" max="4" width="23.140625" style="25" customWidth="1"/>
    <x:col min="5" max="5" width="12" style="32" customWidth="1"/>
    <x:col min="6" max="6" width="14.7109375" style="32" customWidth="1"/>
    <x:col min="7" max="7" width="14.7109375" style="26" customWidth="1"/>
    <x:col min="8" max="8" width="10.28515625" style="29" customWidth="1"/>
    <x:col min="9" max="10" width="10" style="29" customWidth="1"/>
    <x:col min="11" max="11" width="12.85546875" style="29" customWidth="1"/>
    <x:col min="12" max="12" width="9.85546875" style="29" customWidth="1"/>
    <x:col min="13" max="14" width="12.85546875" style="31" customWidth="1"/>
    <x:col min="15" max="15" width="10.7109375" style="32" customWidth="1"/>
    <x:col min="16" max="16" width="10.7109375" style="31" customWidth="1"/>
    <x:col min="17" max="17" width="10.7109375" style="432" customWidth="1"/>
    <x:col min="18" max="18" width="9" style="48" customWidth="1"/>
    <x:col min="19" max="19" width="11.140625" style="48" customWidth="1"/>
    <x:col min="20" max="20" width="11.140625" style="395" customWidth="1"/>
    <x:col min="21" max="21" width="11.140625" style="48" customWidth="1"/>
    <x:col min="22" max="22" width="8.7109375" style="48" customWidth="1"/>
    <x:col min="23" max="23" width="9.140625" style="48" customWidth="1"/>
    <x:col min="24" max="25" width="12.28515625" style="32" customWidth="1"/>
    <x:col min="26" max="26" width="12.28515625" style="31" customWidth="1"/>
    <x:col min="27" max="27" width="12.28515625" style="32" customWidth="1"/>
    <x:col min="28" max="28" width="14.7109375" style="28" customWidth="1"/>
    <x:col min="29" max="29" width="14.7109375" style="29" customWidth="1"/>
    <x:col min="30" max="30" width="25.7109375" style="25" customWidth="1"/>
    <x:col min="31" max="16384" width="9.140625" style="32"/>
  </x:cols>
  <x:sheetData>
    <x:row r="1" spans="1:30" s="201" customFormat="1" x14ac:dyDescent="0.25">
      <x:c r="A1" s="201" t="s">
        <x:v>0</x:v>
      </x:c>
      <x:c r="B1" s="201" t="s">
        <x:v>1</x:v>
      </x:c>
      <x:c r="C1" s="201" t="s">
        <x:v>217</x:v>
      </x:c>
      <x:c r="D1" s="202" t="s">
        <x:v>3</x:v>
      </x:c>
      <x:c r="E1" s="201" t="s">
        <x:v>82</x:v>
      </x:c>
      <x:c r="F1" s="201" t="s">
        <x:v>81</x:v>
      </x:c>
      <x:c r="G1" s="207" t="s">
        <x:v>80</x:v>
      </x:c>
      <x:c r="H1" s="203" t="s">
        <x:v>79</x:v>
      </x:c>
      <x:c r="I1" s="203" t="s">
        <x:v>78</x:v>
      </x:c>
      <x:c r="J1" s="203" t="s">
        <x:v>77</x:v>
      </x:c>
      <x:c r="K1" s="203" t="s">
        <x:v>76</x:v>
      </x:c>
      <x:c r="L1" s="203" t="s">
        <x:v>11</x:v>
      </x:c>
      <x:c r="M1" s="206" t="s">
        <x:v>75</x:v>
      </x:c>
      <x:c r="N1" s="206" t="s">
        <x:v>105</x:v>
      </x:c>
      <x:c r="O1" s="201" t="s">
        <x:v>13</x:v>
      </x:c>
      <x:c r="P1" s="206" t="s">
        <x:v>226</x:v>
      </x:c>
      <x:c r="Q1" s="428" t="s">
        <x:v>224</x:v>
      </x:c>
      <x:c r="R1" s="205" t="s">
        <x:v>15</x:v>
      </x:c>
      <x:c r="S1" s="205" t="s">
        <x:v>18</x:v>
      </x:c>
      <x:c r="T1" s="434" t="s">
        <x:v>229</x:v>
      </x:c>
      <x:c r="U1" s="205" t="str">
        <x:f>Sheet26!B55</x:f>
        <x:v>Access</x:v>
      </x:c>
      <x:c r="V1" s="205" t="s">
        <x:v>16</x:v>
      </x:c>
      <x:c r="W1" s="205" t="s">
        <x:v>17</x:v>
      </x:c>
      <x:c r="X1" s="201" t="s">
        <x:v>19</x:v>
      </x:c>
      <x:c r="Y1" s="201" t="s">
        <x:v>230</x:v>
      </x:c>
      <x:c r="Z1" s="206" t="s">
        <x:v>232</x:v>
      </x:c>
      <x:c r="AA1" s="201" t="s">
        <x:v>20</x:v>
      </x:c>
      <x:c r="AB1" s="204" t="s">
        <x:v>21</x:v>
      </x:c>
      <x:c r="AC1" s="203" t="s">
        <x:v>22</x:v>
      </x:c>
      <x:c r="AD1" s="202" t="s">
        <x:v>23</x:v>
      </x:c>
    </x:row>
    <x:row r="2" spans="1:30" s="9" customFormat="1" x14ac:dyDescent="0.25">
      <x:c r="A2" s="1"/>
      <x:c r="B2" s="2"/>
      <x:c r="C2" s="2"/>
      <x:c r="D2" s="2"/>
      <x:c r="G2" s="3"/>
      <x:c r="H2" s="6"/>
      <x:c r="I2" s="6"/>
      <x:c r="J2" s="6"/>
      <x:c r="K2" s="6"/>
      <x:c r="L2" s="6"/>
      <x:c r="M2" s="8"/>
      <x:c r="N2" s="8"/>
      <x:c r="P2" s="8"/>
      <x:c r="Q2" s="429"/>
      <x:c r="R2" s="10"/>
      <x:c r="S2" s="200"/>
      <x:c r="T2" s="390"/>
      <x:c r="U2" s="10"/>
      <x:c r="V2" s="10"/>
      <x:c r="W2" s="10"/>
      <x:c r="Z2" s="8"/>
      <x:c r="AB2" s="5"/>
      <x:c r="AC2" s="6"/>
      <x:c r="AD2" s="2"/>
    </x:row>
    <x:row r="3" spans="1:30" s="190" customFormat="1" x14ac:dyDescent="0.25">
      <x:c r="A3" s="199" t="s">
        <x:v>26</x:v>
      </x:c>
      <x:c r="B3" s="191" t="str">
        <x:f>Sheet26!D5</x:f>
        <x:v>4735 Dwight Evans Rd</x:v>
      </x:c>
      <x:c r="C3" s="191" t="str">
        <x:f>Sheet26!D6</x:f>
        <x:v>Charlotte, NC</x:v>
      </x:c>
      <x:c r="D3" s="191" t="str">
        <x:f>Sheet26!D8</x:f>
        <x:v>145-301-22</x:v>
      </x:c>
      <x:c r="G3" s="198"/>
      <x:c r="H3" s="192"/>
      <x:c r="I3" s="192"/>
      <x:c r="J3" s="192"/>
      <x:c r="K3" s="192"/>
      <x:c r="L3" s="192"/>
      <x:c r="M3" s="197">
        <x:f>Sheet26!D35</x:f>
        <x:v>16268</x:v>
      </x:c>
      <x:c r="N3" s="197"/>
      <x:c r="O3" s="190">
        <x:f>Sheet26!D33</x:f>
        <x:v>1989</x:v>
      </x:c>
      <x:c r="P3" s="197">
        <x:f>Sheet26!D38</x:f>
        <x:v>1209</x:v>
      </x:c>
      <x:c r="Q3" s="430">
        <x:f>P3/M3</x:f>
        <x:v>7.4317678878780422E-2</x:v>
      </x:c>
      <x:c r="R3" s="195" t="str">
        <x:f>Sheet26!D32</x:f>
        <x:v>Average</x:v>
      </x:c>
      <x:c r="S3" s="196">
        <x:f>Sheet26!D51</x:f>
        <x:v>10</x:v>
      </x:c>
      <x:c r="T3" s="435">
        <x:f>Sheet26!D41</x:f>
        <x:v>18</x:v>
      </x:c>
      <x:c r="U3" s="195" t="str">
        <x:f>Sheet26!D55</x:f>
        <x:v>Good</x:v>
      </x:c>
      <x:c r="V3" s="195">
        <x:f>Sheet26!D47</x:f>
        <x:v>53</x:v>
      </x:c>
      <x:c r="W3" s="194">
        <x:f>Sheet26!D48</x:f>
        <x:v>0.91727241259951542</x:v>
      </x:c>
      <x:c r="X3" s="190" t="s">
        <x:v>240</x:v>
      </x:c>
      <x:c r="Y3" s="190" t="str">
        <x:f>Sheet26!D44</x:f>
        <x:v>0 GL/3 DH</x:v>
      </x:c>
      <x:c r="Z3" s="197">
        <x:f>M3/3</x:f>
        <x:v>5422.666666666667</x:v>
      </x:c>
      <x:c r="AA3" s="190" t="str">
        <x:f>Sheet26!D56</x:f>
        <x:v>None</x:v>
      </x:c>
      <x:c r="AB3" s="193" t="str">
        <x:f>Sheet26!D25</x:f>
        <x:v>I-2</x:v>
      </x:c>
      <x:c r="AC3" s="192"/>
      <x:c r="AD3" s="191"/>
    </x:row>
    <x:row r="4" spans="1:30" s="20" customFormat="1" x14ac:dyDescent="0.25">
      <x:c r="A4" s="12"/>
      <x:c r="B4" s="13"/>
      <x:c r="C4" s="13"/>
      <x:c r="D4" s="189"/>
      <x:c r="G4" s="14"/>
      <x:c r="H4" s="17"/>
      <x:c r="I4" s="17"/>
      <x:c r="J4" s="17"/>
      <x:c r="K4" s="17"/>
      <x:c r="L4" s="17"/>
      <x:c r="M4" s="19"/>
      <x:c r="N4" s="19"/>
      <x:c r="P4" s="19"/>
      <x:c r="Q4" s="431"/>
      <x:c r="R4" s="21"/>
      <x:c r="S4" s="187"/>
      <x:c r="T4" s="391"/>
      <x:c r="U4" s="21"/>
      <x:c r="V4" s="21"/>
      <x:c r="W4" s="156"/>
      <x:c r="Z4" s="19"/>
      <x:c r="AB4" s="16"/>
      <x:c r="AC4" s="17"/>
      <x:c r="AD4" s="13"/>
    </x:row>
    <x:row r="5" spans="1:30" s="20" customFormat="1" x14ac:dyDescent="0.25">
      <x:c r="A5" s="12"/>
      <x:c r="B5" s="13"/>
      <x:c r="C5" s="13"/>
      <x:c r="D5" s="13"/>
      <x:c r="G5" s="14"/>
      <x:c r="H5" s="188"/>
      <x:c r="I5" s="17"/>
      <x:c r="J5" s="17"/>
      <x:c r="K5" s="17"/>
      <x:c r="L5" s="17"/>
      <x:c r="M5" s="19"/>
      <x:c r="N5" s="19"/>
      <x:c r="P5" s="19"/>
      <x:c r="Q5" s="431"/>
      <x:c r="R5" s="21"/>
      <x:c r="S5" s="187"/>
      <x:c r="T5" s="391"/>
      <x:c r="U5" s="21"/>
      <x:c r="V5" s="21"/>
      <x:c r="W5" s="22"/>
      <x:c r="Z5" s="19"/>
      <x:c r="AB5" s="16"/>
      <x:c r="AC5" s="17"/>
      <x:c r="AD5" s="13"/>
    </x:row>
    <x:row r="6" spans="1:30" x14ac:dyDescent="0.25">
      <x:c r="B6" s="25" t="s">
        <x:v>343</x:v>
      </x:c>
      <x:c r="C6" s="25" t="s">
        <x:v>263</x:v>
      </x:c>
      <x:c r="D6" s="25" t="s">
        <x:v>354</x:v>
      </x:c>
      <x:c r="E6" s="32" t="s">
        <x:v>353</x:v>
      </x:c>
      <x:c r="F6" s="32" t="s">
        <x:v>74</x:v>
      </x:c>
      <x:c r="G6" s="26">
        <x:v>44409</x:v>
      </x:c>
      <x:c r="H6" s="186">
        <x:v>120</x:v>
      </x:c>
      <x:c r="I6" s="29">
        <x:v>11.24</x:v>
      </x:c>
      <x:c r="J6" s="29" t="s">
        <x:v>73</x:v>
      </x:c>
      <x:c r="K6" s="29" t="s">
        <x:v>239</x:v>
      </x:c>
      <x:c r="L6" s="29" t="s">
        <x:v>29</x:v>
      </x:c>
      <x:c r="M6" s="31">
        <x:v>18090</x:v>
      </x:c>
      <x:c r="N6" s="31">
        <x:v>18090</x:v>
      </x:c>
      <x:c r="O6" s="32">
        <x:v>1982</x:v>
      </x:c>
      <x:c r="P6" s="31">
        <x:v>1980</x:v>
      </x:c>
      <x:c r="Q6" s="432">
        <x:f>P6/M6</x:f>
        <x:v>0.10945273631840796</x:v>
      </x:c>
      <x:c r="R6" s="48" t="s">
        <x:v>27</x:v>
      </x:c>
      <x:c r="S6" s="397">
        <x:v>5</x:v>
      </x:c>
      <x:c r="T6" s="395">
        <x:v>15</x:v>
      </x:c>
      <x:c r="U6" s="48" t="s">
        <x:v>27</x:v>
      </x:c>
      <x:c r="V6" s="48">
        <x:v>17</x:v>
      </x:c>
      <x:c r="W6" s="22">
        <x:f>V6/(N6/1000)</x:f>
        <x:v>0.9397457158651189</x:v>
      </x:c>
      <x:c r="X6" s="32" t="s">
        <x:v>240</x:v>
      </x:c>
      <x:c r="Y6" s="477" t="s">
        <x:v>355</x:v>
      </x:c>
      <x:c r="Z6" s="478">
        <x:f>M6/4</x:f>
        <x:v>4522.5</x:v>
      </x:c>
      <x:c r="AA6" s="32" t="s">
        <x:v>28</x:v>
      </x:c>
      <x:c r="AC6" s="29" t="s">
        <x:v>356</x:v>
      </x:c>
    </x:row>
    <x:row r="7" spans="1:30" x14ac:dyDescent="0.25">
      <x:c r="B7" s="25" t="s">
        <x:v>338</x:v>
      </x:c>
      <x:c r="C7" s="25" t="s">
        <x:v>263</x:v>
      </x:c>
      <x:c r="D7" s="25" t="s">
        <x:v>339</x:v>
      </x:c>
      <x:c r="E7" s="32" t="s">
        <x:v>340</x:v>
      </x:c>
      <x:c r="F7" s="32" t="s">
        <x:v>74</x:v>
      </x:c>
      <x:c r="G7" s="26">
        <x:v>44256</x:v>
      </x:c>
      <x:c r="H7" s="186">
        <x:v>72</x:v>
      </x:c>
      <x:c r="I7" s="29">
        <x:v>8.51</x:v>
      </x:c>
      <x:c r="J7" s="29" t="s">
        <x:v>73</x:v>
      </x:c>
      <x:c r="K7" s="29" t="s">
        <x:v>239</x:v>
      </x:c>
      <x:c r="L7" s="29" t="s">
        <x:v>29</x:v>
      </x:c>
      <x:c r="M7" s="31">
        <x:v>16492</x:v>
      </x:c>
      <x:c r="N7" s="31">
        <x:v>16492</x:v>
      </x:c>
      <x:c r="O7" s="32">
        <x:v>1998</x:v>
      </x:c>
      <x:c r="P7" s="31">
        <x:v>1484</x:v>
      </x:c>
      <x:c r="Q7" s="432">
        <x:f>P7/M7</x:f>
        <x:v>8.9983022071307303E-2</x:v>
      </x:c>
      <x:c r="R7" s="48" t="s">
        <x:v>27</x:v>
      </x:c>
      <x:c r="S7" s="397">
        <x:v>7</x:v>
      </x:c>
      <x:c r="T7" s="395">
        <x:v>16</x:v>
      </x:c>
      <x:c r="U7" s="48" t="s">
        <x:v>27</x:v>
      </x:c>
      <x:c r="V7" s="48">
        <x:v>9</x:v>
      </x:c>
      <x:c r="W7" s="22">
        <x:f>V7/(N7/1000)</x:f>
        <x:v>0.54571913655105497</x:v>
      </x:c>
      <x:c r="X7" s="32" t="s">
        <x:v>240</x:v>
      </x:c>
      <x:c r="Y7" s="477" t="s">
        <x:v>347</x:v>
      </x:c>
      <x:c r="Z7" s="478">
        <x:f t="shared" ref="Z7" si="0">M7/2</x:f>
        <x:v>8246</x:v>
      </x:c>
      <x:c r="AA7" s="32" t="s">
        <x:v>28</x:v>
      </x:c>
      <x:c r="AC7" s="29" t="s">
        <x:v>348</x:v>
      </x:c>
    </x:row>
    <x:row r="8" spans="1:30" x14ac:dyDescent="0.25">
      <x:c r="B8" s="25" t="s">
        <x:v>351</x:v>
      </x:c>
      <x:c r="C8" s="25" t="s">
        <x:v>263</x:v>
      </x:c>
      <x:c r="D8" s="25" t="s">
        <x:v>350</x:v>
      </x:c>
      <x:c r="E8" s="32" t="s">
        <x:v>349</x:v>
      </x:c>
      <x:c r="F8" s="32" t="s">
        <x:v>74</x:v>
      </x:c>
      <x:c r="G8" s="26">
        <x:v>44348</x:v>
      </x:c>
      <x:c r="H8" s="186">
        <x:v>36</x:v>
      </x:c>
      <x:c r="I8" s="29">
        <x:v>9.76</x:v>
      </x:c>
      <x:c r="J8" s="29" t="s">
        <x:v>73</x:v>
      </x:c>
      <x:c r="K8" s="29" t="s">
        <x:v>239</x:v>
      </x:c>
      <x:c r="L8" s="29" t="s">
        <x:v>29</x:v>
      </x:c>
      <x:c r="M8" s="31">
        <x:v>3628</x:v>
      </x:c>
      <x:c r="N8" s="31">
        <x:v>26040</x:v>
      </x:c>
      <x:c r="O8" s="32">
        <x:v>1983</x:v>
      </x:c>
      <x:c r="P8" s="31">
        <x:v>1200</x:v>
      </x:c>
      <x:c r="Q8" s="432">
        <x:f>P8/M8</x:f>
        <x:v>0.33076074972436603</x:v>
      </x:c>
      <x:c r="R8" s="48" t="s">
        <x:v>27</x:v>
      </x:c>
      <x:c r="S8" s="397">
        <x:v>10</x:v>
      </x:c>
      <x:c r="T8" s="395">
        <x:v>16</x:v>
      </x:c>
      <x:c r="U8" s="48" t="s">
        <x:v>27</x:v>
      </x:c>
      <x:c r="V8" s="48">
        <x:v>55</x:v>
      </x:c>
      <x:c r="W8" s="22">
        <x:f>V8/(N8/1000)</x:f>
        <x:v>2.1121351766513059</x:v>
      </x:c>
      <x:c r="X8" s="32" t="s">
        <x:v>240</x:v>
      </x:c>
      <x:c r="Y8" s="477" t="s">
        <x:v>352</x:v>
      </x:c>
      <x:c r="Z8" s="478">
        <x:f>M8/1</x:f>
        <x:v>3628</x:v>
      </x:c>
      <x:c r="AA8" s="32" t="s">
        <x:v>28</x:v>
      </x:c>
      <x:c r="AC8" s="29" t="s">
        <x:v>360</x:v>
      </x:c>
    </x:row>
    <x:row r="9" spans="1:30" x14ac:dyDescent="0.25">
      <x:c r="B9" s="25" t="s">
        <x:v>342</x:v>
      </x:c>
      <x:c r="C9" s="25" t="s">
        <x:v>263</x:v>
      </x:c>
      <x:c r="D9" s="25" t="s">
        <x:v>344</x:v>
      </x:c>
      <x:c r="E9" s="32" t="s">
        <x:v>345</x:v>
      </x:c>
      <x:c r="F9" s="32" t="s">
        <x:v>74</x:v>
      </x:c>
      <x:c r="G9" s="26">
        <x:v>44013</x:v>
      </x:c>
      <x:c r="H9" s="186">
        <x:v>60</x:v>
      </x:c>
      <x:c r="I9" s="29">
        <x:v>9.36</x:v>
      </x:c>
      <x:c r="J9" s="29" t="s">
        <x:v>73</x:v>
      </x:c>
      <x:c r="K9" s="29" t="s">
        <x:v>239</x:v>
      </x:c>
      <x:c r="L9" s="29" t="s">
        <x:v>29</x:v>
      </x:c>
      <x:c r="M9" s="31">
        <x:v>13700</x:v>
      </x:c>
      <x:c r="N9" s="31">
        <x:v>13700</x:v>
      </x:c>
      <x:c r="O9" s="32">
        <x:v>1967</x:v>
      </x:c>
      <x:c r="P9" s="31">
        <x:v>3151</x:v>
      </x:c>
      <x:c r="Q9" s="432">
        <x:f>P9/M9</x:f>
        <x:v>0.23</x:v>
      </x:c>
      <x:c r="R9" s="48" t="s">
        <x:v>30</x:v>
      </x:c>
      <x:c r="S9" s="397">
        <x:v>10</x:v>
      </x:c>
      <x:c r="T9" s="395">
        <x:v>16</x:v>
      </x:c>
      <x:c r="U9" s="48" t="s">
        <x:v>27</x:v>
      </x:c>
      <x:c r="V9" s="48">
        <x:v>9</x:v>
      </x:c>
      <x:c r="W9" s="22">
        <x:f>V9/(N9/1000)</x:f>
        <x:v>0.65693430656934315</x:v>
      </x:c>
      <x:c r="X9" s="32" t="s">
        <x:v>240</x:v>
      </x:c>
      <x:c r="Y9" s="477" t="s">
        <x:v>346</x:v>
      </x:c>
      <x:c r="Z9" s="478">
        <x:f>M9/2</x:f>
        <x:v>6850</x:v>
      </x:c>
      <x:c r="AA9" s="32" t="s">
        <x:v>28</x:v>
      </x:c>
      <x:c r="AC9" s="29" t="s">
        <x:v>357</x:v>
      </x:c>
    </x:row>
    <x:row r="10" spans="1:30" s="437" customFormat="1" x14ac:dyDescent="0.25">
      <x:c r="A10" s="436"/>
      <x:c r="E10" s="438"/>
      <x:c r="F10" s="438"/>
      <x:c r="G10" s="439"/>
      <x:c r="H10" s="440"/>
      <x:c r="I10" s="440"/>
      <x:c r="J10" s="440"/>
      <x:c r="K10" s="440"/>
      <x:c r="L10" s="440"/>
      <x:c r="M10" s="441"/>
      <x:c r="N10" s="441"/>
      <x:c r="O10" s="438"/>
      <x:c r="P10" s="441"/>
      <x:c r="Q10" s="442"/>
      <x:c r="R10" s="443"/>
      <x:c r="S10" s="444"/>
      <x:c r="T10" s="445"/>
      <x:c r="U10" s="443"/>
      <x:c r="V10" s="443"/>
      <x:c r="W10" s="443"/>
      <x:c r="X10" s="438"/>
      <x:c r="Y10" s="479"/>
      <x:c r="Z10" s="480"/>
      <x:c r="AA10" s="438"/>
      <x:c r="AB10" s="446"/>
      <x:c r="AC10" s="440"/>
    </x:row>
    <x:row r="11" spans="1:30" s="437" customFormat="1" x14ac:dyDescent="0.25">
      <x:c r="A11" s="436"/>
      <x:c r="E11" s="438"/>
      <x:c r="F11" s="438"/>
      <x:c r="G11" s="439"/>
      <x:c r="H11" s="440"/>
      <x:c r="I11" s="440"/>
      <x:c r="J11" s="440"/>
      <x:c r="K11" s="440"/>
      <x:c r="L11" s="440"/>
      <x:c r="M11" s="441"/>
      <x:c r="N11" s="441"/>
      <x:c r="O11" s="438"/>
      <x:c r="P11" s="441"/>
      <x:c r="Q11" s="442"/>
      <x:c r="R11" s="443"/>
      <x:c r="S11" s="444"/>
      <x:c r="T11" s="445"/>
      <x:c r="U11" s="443"/>
      <x:c r="V11" s="443"/>
      <x:c r="W11" s="443"/>
      <x:c r="X11" s="438"/>
      <x:c r="Y11" s="438"/>
      <x:c r="Z11" s="441"/>
      <x:c r="AA11" s="438"/>
      <x:c r="AB11" s="446"/>
      <x:c r="AC11" s="440"/>
    </x:row>
    <x:row r="12" spans="1:30" s="43" customFormat="1" x14ac:dyDescent="0.25">
      <x:c r="A12" s="35"/>
      <x:c r="B12" s="36"/>
      <x:c r="C12" s="36"/>
      <x:c r="D12" s="36"/>
      <x:c r="G12" s="37"/>
      <x:c r="H12" s="184"/>
      <x:c r="I12" s="40"/>
      <x:c r="J12" s="40"/>
      <x:c r="K12" s="40"/>
      <x:c r="L12" s="40"/>
      <x:c r="M12" s="42"/>
      <x:c r="N12" s="42"/>
      <x:c r="P12" s="42"/>
      <x:c r="Q12" s="433"/>
      <x:c r="R12" s="44"/>
      <x:c r="S12" s="183"/>
      <x:c r="T12" s="394"/>
      <x:c r="U12" s="44"/>
      <x:c r="V12" s="44"/>
      <x:c r="W12" s="45"/>
      <x:c r="Z12" s="42"/>
      <x:c r="AB12" s="39"/>
      <x:c r="AC12" s="40"/>
      <x:c r="AD12" s="36"/>
    </x:row>
    <x:row r="13" spans="1:30" s="20" customFormat="1" x14ac:dyDescent="0.25">
      <x:c r="A13" s="12"/>
      <x:c r="B13" s="13"/>
      <x:c r="C13" s="13"/>
      <x:c r="D13" s="13"/>
      <x:c r="G13" s="14"/>
      <x:c r="H13" s="17"/>
      <x:c r="I13" s="17"/>
      <x:c r="J13" s="17"/>
      <x:c r="K13" s="17"/>
      <x:c r="L13" s="17"/>
      <x:c r="M13" s="19"/>
      <x:c r="N13" s="19"/>
      <x:c r="P13" s="19"/>
      <x:c r="Q13" s="431"/>
      <x:c r="R13" s="21"/>
      <x:c r="S13" s="187"/>
      <x:c r="T13" s="391"/>
      <x:c r="U13" s="21"/>
      <x:c r="V13" s="21"/>
      <x:c r="W13" s="21"/>
      <x:c r="Z13" s="19"/>
      <x:c r="AB13" s="16"/>
      <x:c r="AC13" s="17"/>
      <x:c r="AD13" s="13"/>
    </x:row>
    <x:row r="14" spans="1:30" x14ac:dyDescent="0.25">
      <x:c r="S14" s="397"/>
    </x:row>
    <x:row r="15" spans="1:30" x14ac:dyDescent="0.25">
      <x:c r="S15" s="397"/>
    </x:row>
    <x:row r="16" spans="1:30" x14ac:dyDescent="0.25">
      <x:c r="S16" s="397"/>
    </x:row>
    <x:row r="17" spans="9:19" x14ac:dyDescent="0.25">
      <x:c r="S17" s="397"/>
    </x:row>
    <x:row r="18" spans="9:19" x14ac:dyDescent="0.25">
      <x:c r="S18" s="397"/>
    </x:row>
    <x:row r="19" spans="9:19" x14ac:dyDescent="0.25">
      <x:c r="I19" s="29">
        <x:v>7.89</x:v>
      </x:c>
      <x:c r="S19" s="397"/>
    </x:row>
    <x:row r="20" spans="9:19" x14ac:dyDescent="0.25">
      <x:c r="I20" s="29">
        <x:f>I19*1.03</x:f>
        <x:v>8.1266999999999996</x:v>
      </x:c>
      <x:c r="S20" s="397"/>
    </x:row>
    <x:row r="21" spans="9:19" x14ac:dyDescent="0.25">
      <x:c r="I21" s="29">
        <x:f t="shared" ref="I21:I23" si="1">I20*1.03</x:f>
        <x:v>8.3705009999999991</x:v>
      </x:c>
      <x:c r="S21" s="397"/>
    </x:row>
    <x:row r="22" spans="9:19" x14ac:dyDescent="0.25">
      <x:c r="I22" s="29">
        <x:f t="shared" si="1"/>
        <x:v>8.6216160299999984</x:v>
      </x:c>
      <x:c r="S22" s="397"/>
    </x:row>
    <x:row r="23" spans="9:19" x14ac:dyDescent="0.25">
      <x:c r="I23" s="29">
        <x:f t="shared" si="1"/>
        <x:v>8.8802645108999982</x:v>
      </x:c>
      <x:c r="S23" s="397"/>
    </x:row>
    <x:row r="24" spans="9:19" x14ac:dyDescent="0.25">
      <x:c r="I24" s="29">
        <x:f>I23*1.03</x:f>
        <x:v>9.146672446226999</x:v>
      </x:c>
      <x:c r="S24" s="397"/>
    </x:row>
    <x:row r="25" spans="9:19" x14ac:dyDescent="0.25">
      <x:c r="S25" s="397"/>
    </x:row>
    <x:row r="26" spans="9:19" x14ac:dyDescent="0.25">
      <x:c r="I26" s="29">
        <x:f>SUM(I19:I24)/6</x:f>
        <x:v>8.5059589978544992</x:v>
      </x:c>
      <x:c r="S26" s="397"/>
    </x:row>
    <x:row r="27" spans="9:19" x14ac:dyDescent="0.25">
      <x:c r="S27" s="397"/>
    </x:row>
    <x:row r="28" spans="9:19" x14ac:dyDescent="0.25">
      <x:c r="S28" s="397"/>
    </x:row>
    <x:row r="29" spans="9:19" x14ac:dyDescent="0.25">
      <x:c r="I29" s="29">
        <x:v>9.9499999999999993</x:v>
      </x:c>
      <x:c r="J29" s="29">
        <x:f>I29*18090</x:f>
        <x:v>179995.5</x:v>
      </x:c>
      <x:c r="S29" s="397"/>
    </x:row>
    <x:row r="30" spans="9:19" x14ac:dyDescent="0.25">
      <x:c r="I30" s="29">
        <x:f>I29*1.03</x:f>
        <x:v>10.2485</x:v>
      </x:c>
      <x:c r="J30" s="29">
        <x:f t="shared" ref="J30:J33" si="2">I30*18090</x:f>
        <x:v>185395.36499999999</x:v>
      </x:c>
      <x:c r="S30" s="397"/>
    </x:row>
    <x:row r="31" spans="9:19" x14ac:dyDescent="0.25">
      <x:c r="I31" s="29">
        <x:f t="shared" ref="I31:I38" si="3">I30*1.03</x:f>
        <x:v>10.555955000000001</x:v>
      </x:c>
      <x:c r="J31" s="29">
        <x:f t="shared" si="2"/>
        <x:v>190957.22595000002</x:v>
      </x:c>
      <x:c r="S31" s="397"/>
    </x:row>
    <x:row r="32" spans="9:19" x14ac:dyDescent="0.25">
      <x:c r="I32" s="29">
        <x:f t="shared" si="3"/>
        <x:v>10.872633650000001</x:v>
      </x:c>
      <x:c r="J32" s="29">
        <x:f t="shared" si="2"/>
        <x:v>196685.94272850003</x:v>
      </x:c>
      <x:c r="S32" s="397"/>
    </x:row>
    <x:row r="33" spans="9:19" x14ac:dyDescent="0.25">
      <x:c r="I33" s="29">
        <x:f t="shared" si="3"/>
        <x:v>11.198812659500001</x:v>
      </x:c>
      <x:c r="J33" s="29">
        <x:f t="shared" si="2"/>
        <x:v>202586.52101035503</x:v>
      </x:c>
      <x:c r="S33" s="397"/>
    </x:row>
    <x:row r="34" spans="9:19" x14ac:dyDescent="0.25">
      <x:c r="I34" s="29">
        <x:f t="shared" si="3"/>
        <x:v>11.534777039285002</x:v>
      </x:c>
      <x:c r="S34" s="397"/>
    </x:row>
    <x:row r="35" spans="9:19" x14ac:dyDescent="0.25">
      <x:c r="I35" s="29">
        <x:f t="shared" si="3"/>
        <x:v>11.880820350463553</x:v>
      </x:c>
      <x:c r="S35" s="397"/>
    </x:row>
    <x:row r="36" spans="9:19" x14ac:dyDescent="0.25">
      <x:c r="I36" s="29">
        <x:f t="shared" si="3"/>
        <x:v>12.23724496097746</x:v>
      </x:c>
      <x:c r="S36" s="397"/>
    </x:row>
    <x:row r="37" spans="9:19" x14ac:dyDescent="0.25">
      <x:c r="I37" s="29">
        <x:f t="shared" si="3"/>
        <x:v>12.604362309806785</x:v>
      </x:c>
      <x:c r="S37" s="397"/>
    </x:row>
    <x:row r="38" spans="9:19" x14ac:dyDescent="0.25">
      <x:c r="I38" s="29">
        <x:f t="shared" si="3"/>
        <x:v>12.982493179100988</x:v>
      </x:c>
    </x:row>
    <x:row r="40" spans="9:19" x14ac:dyDescent="0.25">
      <x:c r="I40" s="29">
        <x:f>SUM(I29:I38)</x:f>
        <x:v>114.06559914913379</x:v>
      </x:c>
      <x:c r="J40" s="29">
        <x:f>(SUM(J29:J33)-18080-15000)/5</x:f>
        <x:v>184508.11093777101</x:v>
      </x:c>
    </x:row>
    <x:row r="43" spans="9:19" x14ac:dyDescent="0.25">
      <x:c r="J43" s="29" t="e" cm="1">
        <x:f t="array" ref="J43">sum</x:f>
        <x:v>#NAME?</x:v>
      </x:c>
    </x:row>
  </x:sheetData>
  <x:phoneticPr fontId="35" type="noConversion"/>
  <x:pageMargins left="0.7" right="0.7" top="0.75" bottom="0.75" header="0.3" footer="0.3"/>
  <x:pageSetup orientation="portrait"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81A9D40-E69B-41B2-8D5F-B81CD0CDF66F}" mc:Ignorable="x14ac xr xr2 xr3">
  <x:sheetPr>
    <x:tabColor rgb="FFC00000"/>
  </x:sheetPr>
  <x:dimension ref="A1:B29"/>
  <x:sheetViews>
    <x:sheetView workbookViewId="0">
      <x:selection sqref="A1:B29"/>
    </x:sheetView>
  </x:sheetViews>
  <x:sheetFormatPr defaultRowHeight="15" customHeight="1" x14ac:dyDescent="0.2"/>
  <x:cols>
    <x:col min="1" max="2" width="22.7109375" style="49" customWidth="1"/>
    <x:col min="3" max="16384" width="9.140625" style="49"/>
  </x:cols>
  <x:sheetData>
    <x:row r="1" spans="1:2" ht="15" customHeight="1" x14ac:dyDescent="0.2">
      <x:c r="A1" s="494" t="s">
        <x:v>83</x:v>
      </x:c>
      <x:c r="B1" s="494" t="e">
        <x:f>RG!#REF!</x:f>
        <x:v>#REF!</x:v>
      </x:c>
    </x:row>
    <x:row r="2" spans="1:2" ht="15" customHeight="1" x14ac:dyDescent="0.2">
      <x:c r="A2" s="495" t="s">
        <x:v>32</x:v>
      </x:c>
      <x:c r="B2" s="495"/>
    </x:row>
    <x:row r="3" spans="1:2" ht="15" customHeight="1" x14ac:dyDescent="0.2">
      <x:c r="A3" s="493" t="str">
        <x:f>RSum!B1</x:f>
        <x:v>Address</x:v>
      </x:c>
      <x:c r="B3" s="182" t="str">
        <x:f>RSum!B6</x:f>
        <x:v>647 Michael Wylie Dr</x:v>
      </x:c>
    </x:row>
    <x:row r="4" spans="1:2" ht="15" customHeight="1" x14ac:dyDescent="0.2">
      <x:c r="A4" s="493"/>
      <x:c r="B4" s="182" t="str">
        <x:f>RSum!C6</x:f>
        <x:v>Charlotte, NC</x:v>
      </x:c>
    </x:row>
    <x:row r="5" spans="1:2" ht="15" customHeight="1" x14ac:dyDescent="0.2">
      <x:c r="A5" s="182" t="str">
        <x:f>RSum!D1</x:f>
        <x:v>Parcel No.(s)</x:v>
      </x:c>
      <x:c r="B5" s="51" t="str">
        <x:f>RSum!D6</x:f>
        <x:v>145-271-21</x:v>
      </x:c>
    </x:row>
    <x:row r="6" spans="1:2" ht="15" customHeight="1" x14ac:dyDescent="0.2">
      <x:c r="A6" s="495" t="s">
        <x:v>33</x:v>
      </x:c>
      <x:c r="B6" s="495"/>
    </x:row>
    <x:row r="7" spans="1:2" s="211" customFormat="1" ht="15" customHeight="1" x14ac:dyDescent="0.2">
      <x:c r="A7" s="212" t="str">
        <x:f>RSum!J1</x:f>
        <x:v>Property Rights Conveyed</x:v>
      </x:c>
      <x:c r="B7" s="212" t="str">
        <x:f>RSum!J6</x:f>
        <x:v>Typical</x:v>
      </x:c>
    </x:row>
    <x:row r="8" spans="1:2" ht="15" customHeight="1" x14ac:dyDescent="0.2">
      <x:c r="A8" s="52" t="str">
        <x:f>RSum!E1</x:f>
        <x:v>Tenant</x:v>
      </x:c>
      <x:c r="B8" s="53" t="str">
        <x:f>RSum!E6</x:f>
        <x:v>Renner</x:v>
      </x:c>
    </x:row>
    <x:row r="9" spans="1:2" ht="15" customHeight="1" x14ac:dyDescent="0.2">
      <x:c r="A9" s="52" t="str">
        <x:f>RSum!F1</x:f>
        <x:v>Lease Type</x:v>
      </x:c>
      <x:c r="B9" s="54" t="str">
        <x:f>RSum!F6</x:f>
        <x:v>Direct</x:v>
      </x:c>
    </x:row>
    <x:row r="10" spans="1:2" ht="15" customHeight="1" x14ac:dyDescent="0.2">
      <x:c r="A10" s="52" t="str">
        <x:f>RSum!G1</x:f>
        <x:v>Lease Date</x:v>
      </x:c>
      <x:c r="B10" s="210">
        <x:f>RSum!G6</x:f>
        <x:v>44409</x:v>
      </x:c>
    </x:row>
    <x:row r="11" spans="1:2" ht="15" customHeight="1" x14ac:dyDescent="0.2">
      <x:c r="A11" s="52" t="str">
        <x:f>RSum!H1</x:f>
        <x:v>Lease Term</x:v>
      </x:c>
      <x:c r="B11" s="209">
        <x:f>RSum!H6</x:f>
        <x:v>120</x:v>
      </x:c>
    </x:row>
    <x:row r="12" spans="1:2" ht="15" customHeight="1" x14ac:dyDescent="0.2">
      <x:c r="A12" s="52" t="str">
        <x:f>RSum!I1</x:f>
        <x:v>Lease Rate (S/SF/Yr)</x:v>
      </x:c>
      <x:c r="B12" s="208">
        <x:f>RSum!I6</x:f>
        <x:v>11.24</x:v>
      </x:c>
    </x:row>
    <x:row r="13" spans="1:2" ht="15" customHeight="1" x14ac:dyDescent="0.2">
      <x:c r="A13" s="52" t="str">
        <x:f>RSum!K1</x:f>
        <x:v>Expense Structure</x:v>
      </x:c>
      <x:c r="B13" s="182" t="str">
        <x:f>RSum!K6</x:f>
        <x:v>NNN</x:v>
      </x:c>
    </x:row>
    <x:row r="14" spans="1:2" ht="15" customHeight="1" x14ac:dyDescent="0.2">
      <x:c r="A14" s="52" t="str">
        <x:f>RSum!L1</x:f>
        <x:v>Verification</x:v>
      </x:c>
      <x:c r="B14" s="182" t="str">
        <x:f>RSum!L6</x:f>
        <x:v>Listing Broker</x:v>
      </x:c>
    </x:row>
    <x:row r="15" spans="1:2" ht="15" customHeight="1" x14ac:dyDescent="0.2">
      <x:c r="A15" s="495" t="s">
        <x:v>34</x:v>
      </x:c>
      <x:c r="B15" s="495"/>
    </x:row>
    <x:row r="16" spans="1:2" ht="15" customHeight="1" x14ac:dyDescent="0.2">
      <x:c r="A16" s="59" t="str">
        <x:f>RSum!M1</x:f>
        <x:v>Rentable Building Area (SF)</x:v>
      </x:c>
      <x:c r="B16" s="60">
        <x:f>RSum!M6</x:f>
        <x:v>18090</x:v>
      </x:c>
    </x:row>
    <x:row r="17" spans="1:2" ht="15" customHeight="1" x14ac:dyDescent="0.2">
      <x:c r="A17" s="61" t="str">
        <x:f>RSum!O1</x:f>
        <x:v>Year Built</x:v>
      </x:c>
      <x:c r="B17" s="182">
        <x:f>RSum!O6</x:f>
        <x:v>1982</x:v>
      </x:c>
    </x:row>
    <x:row r="18" spans="1:2" ht="15" customHeight="1" x14ac:dyDescent="0.2">
      <x:c r="A18" s="59" t="str">
        <x:f>RSum!R1</x:f>
        <x:v>Quality</x:v>
      </x:c>
      <x:c r="B18" s="62" t="str">
        <x:f>RSum!R6</x:f>
        <x:v>Good</x:v>
      </x:c>
    </x:row>
    <x:row r="19" spans="1:2" ht="15" customHeight="1" x14ac:dyDescent="0.2">
      <x:c r="A19" s="59" t="str">
        <x:f>RSum!S1</x:f>
        <x:v>Effective Age/Condition</x:v>
      </x:c>
      <x:c r="B19" s="64">
        <x:f>RSum!S6</x:f>
        <x:v>5</x:v>
      </x:c>
    </x:row>
    <x:row r="20" spans="1:2" ht="15" customHeight="1" x14ac:dyDescent="0.2">
      <x:c r="A20" s="59" t="str">
        <x:f>RSum!Q1</x:f>
        <x:v>Finished Ratio</x:v>
      </x:c>
      <x:c r="B20" s="455">
        <x:f>RSum!Q6</x:f>
        <x:v>0.10945273631840796</x:v>
      </x:c>
    </x:row>
    <x:row r="21" spans="1:2" ht="15" customHeight="1" x14ac:dyDescent="0.2">
      <x:c r="A21" s="59" t="str">
        <x:f>RSum!U1</x:f>
        <x:v>Access</x:v>
      </x:c>
      <x:c r="B21" s="60" t="str">
        <x:f>RSum!U6</x:f>
        <x:v>Good</x:v>
      </x:c>
    </x:row>
    <x:row r="22" spans="1:2" ht="15" customHeight="1" x14ac:dyDescent="0.2">
      <x:c r="A22" s="59" t="str">
        <x:f>RSum!W1</x:f>
        <x:v>Parking Ratio</x:v>
      </x:c>
      <x:c r="B22" s="63">
        <x:f>RSum!W6</x:f>
        <x:v>0.9397457158651189</x:v>
      </x:c>
    </x:row>
    <x:row r="23" spans="1:2" ht="15" customHeight="1" x14ac:dyDescent="0.2">
      <x:c r="A23" s="59" t="str">
        <x:f>RSum!T1</x:f>
        <x:v>Eave Height</x:v>
      </x:c>
      <x:c r="B23" s="411">
        <x:f>RSum!T6</x:f>
        <x:v>15</x:v>
      </x:c>
    </x:row>
    <x:row r="24" spans="1:2" ht="15" customHeight="1" x14ac:dyDescent="0.2">
      <x:c r="A24" s="59" t="str">
        <x:f>RSum!Y1</x:f>
        <x:v>Loading</x:v>
      </x:c>
      <x:c r="B24" s="63" t="str">
        <x:f>RSum!Y6</x:f>
        <x:v>2 GL/2 DH</x:v>
      </x:c>
    </x:row>
    <x:row r="25" spans="1:2" ht="15" customHeight="1" x14ac:dyDescent="0.2">
      <x:c r="A25" s="59" t="str">
        <x:f>RSum!Z1</x:f>
        <x:v>Loading SF</x:v>
      </x:c>
      <x:c r="B25" s="60">
        <x:f>RSum!Z6</x:f>
        <x:v>4522.5</x:v>
      </x:c>
    </x:row>
    <x:row r="26" spans="1:2" ht="15" customHeight="1" x14ac:dyDescent="0.2">
      <x:c r="A26" s="61" t="str">
        <x:f>RSum!X1</x:f>
        <x:v>Building Use</x:v>
      </x:c>
      <x:c r="B26" s="182" t="str">
        <x:f>RSum!X6</x:f>
        <x:v>Industrial</x:v>
      </x:c>
    </x:row>
    <x:row r="27" spans="1:2" ht="15" customHeight="1" x14ac:dyDescent="0.2">
      <x:c r="A27" s="61" t="str">
        <x:f>RSum!AA1</x:f>
        <x:v>Other</x:v>
      </x:c>
      <x:c r="B27" s="182" t="str">
        <x:f>RSum!AA6</x:f>
        <x:v>None</x:v>
      </x:c>
    </x:row>
    <x:row r="28" spans="1:2" ht="15" customHeight="1" x14ac:dyDescent="0.2">
      <x:c r="A28" s="495" t="s">
        <x:v>22</x:v>
      </x:c>
      <x:c r="B28" s="495"/>
    </x:row>
    <x:row r="29" spans="1:2" ht="15" customHeight="1" x14ac:dyDescent="0.2">
      <x:c r="A29" s="493" t="str">
        <x:f>RSum!AC6</x:f>
        <x:v xml:space="preserve">This reflects the effective rent for space in an 18,090-square-foot, freestanding just north of the Interstate 77/Billy Graham Parkway interchange within the city limits of Charlotte in Mecklenburg County, North Carolina. The building is demised into 1,980 square feet of office space and 16,110 square feet of warehouse space. The ten-year, triple-net lease was executed with a starting rent of $9.95 per square foot per year having yearly escalations of 3 percent with one month free rent and a reported tenant improvement allowance of $1.00 per square foot. </x:v>
      </x:c>
      <x:c r="B29" s="493" t="e">
        <x:v>#REF!</x:v>
      </x:c>
    </x:row>
  </x:sheetData>
  <x:mergeCells count="7">
    <x:mergeCell ref="A29:B29"/>
    <x:mergeCell ref="A1:B1"/>
    <x:mergeCell ref="A2:B2"/>
    <x:mergeCell ref="A3:A4"/>
    <x:mergeCell ref="A6:B6"/>
    <x:mergeCell ref="A15:B15"/>
    <x:mergeCell ref="A28:B28"/>
  </x:mergeCells>
  <x:pageMargins left="0.7" right="0.7" top="0.75" bottom="0.75" header="0.3" footer="0.3"/>
  <x:pageSetup orientation="portrait" r:id="rId1"/>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A87ADD9-D573-408D-9213-D97DB71E108D}" mc:Ignorable="x14ac xr xr2 xr3">
  <x:sheetPr>
    <x:tabColor rgb="FFC00000"/>
  </x:sheetPr>
  <x:dimension ref="A1:B29"/>
  <x:sheetViews>
    <x:sheetView workbookViewId="0">
      <x:selection sqref="A1:B29"/>
    </x:sheetView>
  </x:sheetViews>
  <x:sheetFormatPr defaultRowHeight="15" customHeight="1" x14ac:dyDescent="0.25"/>
  <x:cols>
    <x:col min="1" max="2" width="22.7109375" style="65" customWidth="1"/>
    <x:col min="3" max="16384" width="9.140625" style="65"/>
  </x:cols>
  <x:sheetData>
    <x:row r="1" spans="1:2" ht="15" customHeight="1" x14ac:dyDescent="0.25">
      <x:c r="A1" s="494" t="s">
        <x:v>84</x:v>
      </x:c>
      <x:c r="B1" s="494"/>
    </x:row>
    <x:row r="2" spans="1:2" ht="15" customHeight="1" x14ac:dyDescent="0.25">
      <x:c r="A2" s="495" t="s">
        <x:v>32</x:v>
      </x:c>
      <x:c r="B2" s="495"/>
    </x:row>
    <x:row r="3" spans="1:2" ht="15" customHeight="1" x14ac:dyDescent="0.25">
      <x:c r="A3" s="493" t="str">
        <x:f>RSum!B1</x:f>
        <x:v>Address</x:v>
      </x:c>
      <x:c r="B3" s="51" t="str">
        <x:f>RSum!B7</x:f>
        <x:v>3300 Oak Lake Blvd</x:v>
      </x:c>
    </x:row>
    <x:row r="4" spans="1:2" ht="15" customHeight="1" x14ac:dyDescent="0.25">
      <x:c r="A4" s="493"/>
      <x:c r="B4" s="182" t="str">
        <x:f>RSum!C7</x:f>
        <x:v>Charlotte, NC</x:v>
      </x:c>
    </x:row>
    <x:row r="5" spans="1:2" ht="15" customHeight="1" x14ac:dyDescent="0.25">
      <x:c r="A5" s="182" t="str">
        <x:f>RSum!D1</x:f>
        <x:v>Parcel No.(s)</x:v>
      </x:c>
      <x:c r="B5" s="51" t="str">
        <x:f>RSum!D7</x:f>
        <x:v>143-261-05</x:v>
      </x:c>
    </x:row>
    <x:row r="6" spans="1:2" ht="15" customHeight="1" x14ac:dyDescent="0.25">
      <x:c r="A6" s="495" t="s">
        <x:v>33</x:v>
      </x:c>
      <x:c r="B6" s="495"/>
    </x:row>
    <x:row r="7" spans="1:2" s="213" customFormat="1" ht="15" customHeight="1" x14ac:dyDescent="0.25">
      <x:c r="A7" s="212" t="str">
        <x:f>RSum!J1</x:f>
        <x:v>Property Rights Conveyed</x:v>
      </x:c>
      <x:c r="B7" s="212" t="str">
        <x:f>RSum!J7</x:f>
        <x:v>Typical</x:v>
      </x:c>
    </x:row>
    <x:row r="8" spans="1:2" ht="15" customHeight="1" x14ac:dyDescent="0.25">
      <x:c r="A8" s="52" t="str">
        <x:f>RSum!E1</x:f>
        <x:v>Tenant</x:v>
      </x:c>
      <x:c r="B8" s="53" t="str">
        <x:f>RSum!E7</x:f>
        <x:v>Zoe Baby Products</x:v>
      </x:c>
    </x:row>
    <x:row r="9" spans="1:2" ht="15" customHeight="1" x14ac:dyDescent="0.25">
      <x:c r="A9" s="52" t="str">
        <x:f>RSum!F1</x:f>
        <x:v>Lease Type</x:v>
      </x:c>
      <x:c r="B9" s="54" t="str">
        <x:f>RSum!F7</x:f>
        <x:v>Direct</x:v>
      </x:c>
    </x:row>
    <x:row r="10" spans="1:2" ht="15" customHeight="1" x14ac:dyDescent="0.25">
      <x:c r="A10" s="52" t="str">
        <x:f>RSum!G1</x:f>
        <x:v>Lease Date</x:v>
      </x:c>
      <x:c r="B10" s="210">
        <x:f>RSum!G7</x:f>
        <x:v>44256</x:v>
      </x:c>
    </x:row>
    <x:row r="11" spans="1:2" ht="15" customHeight="1" x14ac:dyDescent="0.25">
      <x:c r="A11" s="52" t="str">
        <x:f>RSum!H1</x:f>
        <x:v>Lease Term</x:v>
      </x:c>
      <x:c r="B11" s="209">
        <x:f>RSum!H7</x:f>
        <x:v>72</x:v>
      </x:c>
    </x:row>
    <x:row r="12" spans="1:2" ht="15" customHeight="1" x14ac:dyDescent="0.25">
      <x:c r="A12" s="52" t="str">
        <x:f>RSum!I1</x:f>
        <x:v>Lease Rate (S/SF/Yr)</x:v>
      </x:c>
      <x:c r="B12" s="208">
        <x:f>RSum!I7</x:f>
        <x:v>8.51</x:v>
      </x:c>
    </x:row>
    <x:row r="13" spans="1:2" ht="15" customHeight="1" x14ac:dyDescent="0.25">
      <x:c r="A13" s="52" t="str">
        <x:f>RSum!K1</x:f>
        <x:v>Expense Structure</x:v>
      </x:c>
      <x:c r="B13" s="182" t="str">
        <x:f>RSum!K7</x:f>
        <x:v>NNN</x:v>
      </x:c>
    </x:row>
    <x:row r="14" spans="1:2" ht="15" customHeight="1" x14ac:dyDescent="0.25">
      <x:c r="A14" s="52" t="str">
        <x:f>RSum!L1</x:f>
        <x:v>Verification</x:v>
      </x:c>
      <x:c r="B14" s="182" t="str">
        <x:f>RSum!L7</x:f>
        <x:v>Listing Broker</x:v>
      </x:c>
    </x:row>
    <x:row r="15" spans="1:2" ht="15" customHeight="1" x14ac:dyDescent="0.25">
      <x:c r="A15" s="495" t="s">
        <x:v>34</x:v>
      </x:c>
      <x:c r="B15" s="495"/>
    </x:row>
    <x:row r="16" spans="1:2" ht="15" customHeight="1" x14ac:dyDescent="0.25">
      <x:c r="A16" s="59" t="str">
        <x:f>RSum!M1</x:f>
        <x:v>Rentable Building Area (SF)</x:v>
      </x:c>
      <x:c r="B16" s="60">
        <x:f>RSum!M7</x:f>
        <x:v>16492</x:v>
      </x:c>
    </x:row>
    <x:row r="17" spans="1:2" ht="15" customHeight="1" x14ac:dyDescent="0.25">
      <x:c r="A17" s="61" t="str">
        <x:f>RSum!O1</x:f>
        <x:v>Year Built</x:v>
      </x:c>
      <x:c r="B17" s="182">
        <x:f>RSum!O7</x:f>
        <x:v>1998</x:v>
      </x:c>
    </x:row>
    <x:row r="18" spans="1:2" ht="15" customHeight="1" x14ac:dyDescent="0.25">
      <x:c r="A18" s="59" t="str">
        <x:f>RSum!R1</x:f>
        <x:v>Quality</x:v>
      </x:c>
      <x:c r="B18" s="62" t="str">
        <x:f>RSum!R7</x:f>
        <x:v>Good</x:v>
      </x:c>
    </x:row>
    <x:row r="19" spans="1:2" ht="15" customHeight="1" x14ac:dyDescent="0.25">
      <x:c r="A19" s="59" t="str">
        <x:f>RSum!S1</x:f>
        <x:v>Effective Age/Condition</x:v>
      </x:c>
      <x:c r="B19" s="64">
        <x:f>RSum!S7</x:f>
        <x:v>7</x:v>
      </x:c>
    </x:row>
    <x:row r="20" spans="1:2" ht="15" customHeight="1" x14ac:dyDescent="0.25">
      <x:c r="A20" s="59" t="str">
        <x:f>RSum!Q1</x:f>
        <x:v>Finished Ratio</x:v>
      </x:c>
      <x:c r="B20" s="455">
        <x:f>RSum!Q7</x:f>
        <x:v>8.9983022071307303E-2</x:v>
      </x:c>
    </x:row>
    <x:row r="21" spans="1:2" ht="15" customHeight="1" x14ac:dyDescent="0.25">
      <x:c r="A21" s="59" t="str">
        <x:f>RSum!U1</x:f>
        <x:v>Access</x:v>
      </x:c>
      <x:c r="B21" s="60" t="str">
        <x:f>RSum!U7</x:f>
        <x:v>Good</x:v>
      </x:c>
    </x:row>
    <x:row r="22" spans="1:2" ht="15" customHeight="1" x14ac:dyDescent="0.25">
      <x:c r="A22" s="59" t="str">
        <x:f>RSum!W1</x:f>
        <x:v>Parking Ratio</x:v>
      </x:c>
      <x:c r="B22" s="63">
        <x:f>RSum!W7</x:f>
        <x:v>0.54571913655105497</x:v>
      </x:c>
    </x:row>
    <x:row r="23" spans="1:2" ht="15" customHeight="1" x14ac:dyDescent="0.25">
      <x:c r="A23" s="59" t="str">
        <x:f>RSum!T1</x:f>
        <x:v>Eave Height</x:v>
      </x:c>
      <x:c r="B23" s="411">
        <x:f>RSum!T7</x:f>
        <x:v>16</x:v>
      </x:c>
    </x:row>
    <x:row r="24" spans="1:2" ht="15" customHeight="1" x14ac:dyDescent="0.25">
      <x:c r="A24" s="59" t="str">
        <x:f>RSum!Y1</x:f>
        <x:v>Loading</x:v>
      </x:c>
      <x:c r="B24" s="63" t="str">
        <x:f>RSum!Y7</x:f>
        <x:v>1 GL/1 DH</x:v>
      </x:c>
    </x:row>
    <x:row r="25" spans="1:2" ht="15" customHeight="1" x14ac:dyDescent="0.25">
      <x:c r="A25" s="59" t="str">
        <x:f>RSum!Z1</x:f>
        <x:v>Loading SF</x:v>
      </x:c>
      <x:c r="B25" s="60">
        <x:f>RSum!Z7</x:f>
        <x:v>8246</x:v>
      </x:c>
    </x:row>
    <x:row r="26" spans="1:2" ht="15" customHeight="1" x14ac:dyDescent="0.25">
      <x:c r="A26" s="61" t="str">
        <x:f>RSum!X1</x:f>
        <x:v>Building Use</x:v>
      </x:c>
      <x:c r="B26" s="182" t="str">
        <x:f>RSum!X7</x:f>
        <x:v>Industrial</x:v>
      </x:c>
    </x:row>
    <x:row r="27" spans="1:2" ht="15" customHeight="1" x14ac:dyDescent="0.25">
      <x:c r="A27" s="61" t="str">
        <x:f>RSum!AA1</x:f>
        <x:v>Other</x:v>
      </x:c>
      <x:c r="B27" s="182" t="str">
        <x:f>RSum!AA7</x:f>
        <x:v>None</x:v>
      </x:c>
    </x:row>
    <x:row r="28" spans="1:2" ht="15" customHeight="1" x14ac:dyDescent="0.25">
      <x:c r="A28" s="495" t="s">
        <x:v>22</x:v>
      </x:c>
      <x:c r="B28" s="495"/>
    </x:row>
    <x:row r="29" spans="1:2" ht="15" customHeight="1" x14ac:dyDescent="0.25">
      <x:c r="A29" s="493" t="str">
        <x:f>RSum!AC7</x:f>
        <x:v>This reflects the effective rent for space in a 16,492-square-foot, freestanding industrial building located just east of the Billy Graham Parkway/West Tyvola Road interchange with the city limits of Charlotte in Mecklenburg County, North Carolina. The building is fully-conditioned and has approximately 1,484 square feet of office space. The triple-net lease was executed turn-key with a starting rent of $7.89 per square foot per year having 3.0 percent yearly escalations.</x:v>
      </x:c>
      <x:c r="B29" s="493"/>
    </x:row>
  </x:sheetData>
  <x:mergeCells count="7">
    <x:mergeCell ref="A29:B29"/>
    <x:mergeCell ref="A1:B1"/>
    <x:mergeCell ref="A2:B2"/>
    <x:mergeCell ref="A3:A4"/>
    <x:mergeCell ref="A6:B6"/>
    <x:mergeCell ref="A15:B15"/>
    <x:mergeCell ref="A28:B28"/>
  </x:mergeCells>
  <x:pageMargins left="0.7" right="0.7" top="0.75" bottom="0.75" header="0.3" footer="0.3"/>
  <x:pageSetup orientation="portrait" r:id="rId1"/>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C7B3B3E-70A1-4857-92E4-F6D12EC3C2F2}" mc:Ignorable="x14ac xr xr2 xr3">
  <x:sheetPr>
    <x:tabColor rgb="FFC00000"/>
  </x:sheetPr>
  <x:dimension ref="A1:B29"/>
  <x:sheetViews>
    <x:sheetView workbookViewId="0">
      <x:selection sqref="A1:B29"/>
    </x:sheetView>
  </x:sheetViews>
  <x:sheetFormatPr defaultRowHeight="15" customHeight="1" x14ac:dyDescent="0.25"/>
  <x:cols>
    <x:col min="1" max="2" width="22.7109375" style="65" customWidth="1"/>
    <x:col min="3" max="16384" width="9.140625" style="65"/>
  </x:cols>
  <x:sheetData>
    <x:row r="1" spans="1:2" ht="15" customHeight="1" x14ac:dyDescent="0.25">
      <x:c r="A1" s="494" t="s">
        <x:v>85</x:v>
      </x:c>
      <x:c r="B1" s="494" t="e">
        <x:f>RG!#REF!</x:f>
        <x:v>#REF!</x:v>
      </x:c>
    </x:row>
    <x:row r="2" spans="1:2" ht="15" customHeight="1" x14ac:dyDescent="0.25">
      <x:c r="A2" s="495" t="s">
        <x:v>32</x:v>
      </x:c>
      <x:c r="B2" s="495"/>
    </x:row>
    <x:row r="3" spans="1:2" ht="15" customHeight="1" x14ac:dyDescent="0.25">
      <x:c r="A3" s="493" t="str">
        <x:f>RSum!B1</x:f>
        <x:v>Address</x:v>
      </x:c>
      <x:c r="B3" s="51" t="str">
        <x:f>RSum!B8</x:f>
        <x:v>2732 Interstate St, Ste F</x:v>
      </x:c>
    </x:row>
    <x:row r="4" spans="1:2" ht="15" customHeight="1" x14ac:dyDescent="0.25">
      <x:c r="A4" s="493"/>
      <x:c r="B4" s="182" t="str">
        <x:f>RSum!C8</x:f>
        <x:v>Charlotte, NC</x:v>
      </x:c>
    </x:row>
    <x:row r="5" spans="1:2" ht="15" customHeight="1" x14ac:dyDescent="0.25">
      <x:c r="A5" s="182" t="str">
        <x:f>RSum!D1</x:f>
        <x:v>Parcel No.(s)</x:v>
      </x:c>
      <x:c r="B5" s="51" t="str">
        <x:f>RSum!D8</x:f>
        <x:v>061-123-12</x:v>
      </x:c>
    </x:row>
    <x:row r="6" spans="1:2" ht="15" customHeight="1" x14ac:dyDescent="0.25">
      <x:c r="A6" s="495" t="s">
        <x:v>33</x:v>
      </x:c>
      <x:c r="B6" s="495"/>
    </x:row>
    <x:row r="7" spans="1:2" s="213" customFormat="1" ht="15" customHeight="1" x14ac:dyDescent="0.25">
      <x:c r="A7" s="212" t="str">
        <x:f>RSum!J1</x:f>
        <x:v>Property Rights Conveyed</x:v>
      </x:c>
      <x:c r="B7" s="212" t="str">
        <x:f>RSum!J8</x:f>
        <x:v>Typical</x:v>
      </x:c>
    </x:row>
    <x:row r="8" spans="1:2" ht="15" customHeight="1" x14ac:dyDescent="0.25">
      <x:c r="A8" s="52" t="str">
        <x:f>RSum!E1</x:f>
        <x:v>Tenant</x:v>
      </x:c>
      <x:c r="B8" s="53" t="str">
        <x:f>RSum!E8</x:f>
        <x:v>Confidential</x:v>
      </x:c>
    </x:row>
    <x:row r="9" spans="1:2" ht="15" customHeight="1" x14ac:dyDescent="0.25">
      <x:c r="A9" s="52" t="str">
        <x:f>RSum!F1</x:f>
        <x:v>Lease Type</x:v>
      </x:c>
      <x:c r="B9" s="54" t="str">
        <x:f>RSum!F8</x:f>
        <x:v>Direct</x:v>
      </x:c>
    </x:row>
    <x:row r="10" spans="1:2" ht="15" customHeight="1" x14ac:dyDescent="0.25">
      <x:c r="A10" s="52" t="str">
        <x:f>RSum!G1</x:f>
        <x:v>Lease Date</x:v>
      </x:c>
      <x:c r="B10" s="210">
        <x:f>RSum!G8</x:f>
        <x:v>44348</x:v>
      </x:c>
    </x:row>
    <x:row r="11" spans="1:2" ht="15" customHeight="1" x14ac:dyDescent="0.25">
      <x:c r="A11" s="52" t="str">
        <x:f>RSum!H1</x:f>
        <x:v>Lease Term</x:v>
      </x:c>
      <x:c r="B11" s="209">
        <x:f>RSum!H8</x:f>
        <x:v>36</x:v>
      </x:c>
    </x:row>
    <x:row r="12" spans="1:2" ht="15" customHeight="1" x14ac:dyDescent="0.25">
      <x:c r="A12" s="52" t="str">
        <x:f>RSum!I1</x:f>
        <x:v>Lease Rate (S/SF/Yr)</x:v>
      </x:c>
      <x:c r="B12" s="208">
        <x:f>RSum!I8</x:f>
        <x:v>9.76</x:v>
      </x:c>
    </x:row>
    <x:row r="13" spans="1:2" ht="15" customHeight="1" x14ac:dyDescent="0.25">
      <x:c r="A13" s="52" t="str">
        <x:f>RSum!K1</x:f>
        <x:v>Expense Structure</x:v>
      </x:c>
      <x:c r="B13" s="182" t="str">
        <x:f>RSum!K8</x:f>
        <x:v>NNN</x:v>
      </x:c>
    </x:row>
    <x:row r="14" spans="1:2" ht="15" customHeight="1" x14ac:dyDescent="0.25">
      <x:c r="A14" s="52" t="str">
        <x:f>RSum!L1</x:f>
        <x:v>Verification</x:v>
      </x:c>
      <x:c r="B14" s="182" t="str">
        <x:f>RSum!L8</x:f>
        <x:v>Listing Broker</x:v>
      </x:c>
    </x:row>
    <x:row r="15" spans="1:2" ht="15" customHeight="1" x14ac:dyDescent="0.25">
      <x:c r="A15" s="495" t="s">
        <x:v>34</x:v>
      </x:c>
      <x:c r="B15" s="495"/>
    </x:row>
    <x:row r="16" spans="1:2" ht="15" customHeight="1" x14ac:dyDescent="0.25">
      <x:c r="A16" s="59" t="str">
        <x:f>RSum!M1</x:f>
        <x:v>Rentable Building Area (SF)</x:v>
      </x:c>
      <x:c r="B16" s="60">
        <x:f>RSum!M8</x:f>
        <x:v>3628</x:v>
      </x:c>
    </x:row>
    <x:row r="17" spans="1:2" ht="15" customHeight="1" x14ac:dyDescent="0.25">
      <x:c r="A17" s="61" t="str">
        <x:f>RSum!O1</x:f>
        <x:v>Year Built</x:v>
      </x:c>
      <x:c r="B17" s="182">
        <x:f>RSum!O8</x:f>
        <x:v>1983</x:v>
      </x:c>
    </x:row>
    <x:row r="18" spans="1:2" ht="15" customHeight="1" x14ac:dyDescent="0.25">
      <x:c r="A18" s="59" t="str">
        <x:f>RSum!R1</x:f>
        <x:v>Quality</x:v>
      </x:c>
      <x:c r="B18" s="62" t="str">
        <x:f>RSum!R8</x:f>
        <x:v>Good</x:v>
      </x:c>
    </x:row>
    <x:row r="19" spans="1:2" ht="15" customHeight="1" x14ac:dyDescent="0.25">
      <x:c r="A19" s="59" t="str">
        <x:f>RSum!S1</x:f>
        <x:v>Effective Age/Condition</x:v>
      </x:c>
      <x:c r="B19" s="64">
        <x:f>RSum!S8</x:f>
        <x:v>10</x:v>
      </x:c>
    </x:row>
    <x:row r="20" spans="1:2" ht="15" customHeight="1" x14ac:dyDescent="0.25">
      <x:c r="A20" s="59" t="str">
        <x:f>RSum!Q1</x:f>
        <x:v>Finished Ratio</x:v>
      </x:c>
      <x:c r="B20" s="455">
        <x:f>RSum!Q8</x:f>
        <x:v>0.33076074972436603</x:v>
      </x:c>
    </x:row>
    <x:row r="21" spans="1:2" ht="15" customHeight="1" x14ac:dyDescent="0.25">
      <x:c r="A21" s="59" t="str">
        <x:f>RSum!U1</x:f>
        <x:v>Access</x:v>
      </x:c>
      <x:c r="B21" s="60" t="str">
        <x:f>RSum!U8</x:f>
        <x:v>Good</x:v>
      </x:c>
    </x:row>
    <x:row r="22" spans="1:2" ht="15" customHeight="1" x14ac:dyDescent="0.25">
      <x:c r="A22" s="59" t="str">
        <x:f>RSum!W1</x:f>
        <x:v>Parking Ratio</x:v>
      </x:c>
      <x:c r="B22" s="63">
        <x:f>RSum!W8</x:f>
        <x:v>2.1121351766513059</x:v>
      </x:c>
    </x:row>
    <x:row r="23" spans="1:2" ht="15" customHeight="1" x14ac:dyDescent="0.25">
      <x:c r="A23" s="59" t="str">
        <x:f>RSum!T1</x:f>
        <x:v>Eave Height</x:v>
      </x:c>
      <x:c r="B23" s="411">
        <x:f>RSum!T8</x:f>
        <x:v>16</x:v>
      </x:c>
    </x:row>
    <x:row r="24" spans="1:2" ht="15" customHeight="1" x14ac:dyDescent="0.25">
      <x:c r="A24" s="59" t="str">
        <x:f>RSum!Y1</x:f>
        <x:v>Loading</x:v>
      </x:c>
      <x:c r="B24" s="63" t="str">
        <x:f>RSum!Y8</x:f>
        <x:v>0 GL/1 DH</x:v>
      </x:c>
    </x:row>
    <x:row r="25" spans="1:2" ht="15" customHeight="1" x14ac:dyDescent="0.25">
      <x:c r="A25" s="59" t="str">
        <x:f>RSum!Z1</x:f>
        <x:v>Loading SF</x:v>
      </x:c>
      <x:c r="B25" s="60">
        <x:f>RSum!Z8</x:f>
        <x:v>3628</x:v>
      </x:c>
    </x:row>
    <x:row r="26" spans="1:2" ht="15" customHeight="1" x14ac:dyDescent="0.25">
      <x:c r="A26" s="61" t="str">
        <x:f>RSum!X1</x:f>
        <x:v>Building Use</x:v>
      </x:c>
      <x:c r="B26" s="182" t="str">
        <x:f>RSum!X8</x:f>
        <x:v>Industrial</x:v>
      </x:c>
    </x:row>
    <x:row r="27" spans="1:2" ht="15" customHeight="1" x14ac:dyDescent="0.25">
      <x:c r="A27" s="61" t="str">
        <x:f>RSum!AA1</x:f>
        <x:v>Other</x:v>
      </x:c>
      <x:c r="B27" s="182" t="str">
        <x:f>RSum!AA8</x:f>
        <x:v>None</x:v>
      </x:c>
    </x:row>
    <x:row r="28" spans="1:2" ht="15" customHeight="1" x14ac:dyDescent="0.25">
      <x:c r="A28" s="495" t="s">
        <x:v>22</x:v>
      </x:c>
      <x:c r="B28" s="495"/>
    </x:row>
    <x:row r="29" spans="1:2" ht="15" customHeight="1" x14ac:dyDescent="0.25">
      <x:c r="A29" s="493" t="str">
        <x:f>RSum!AC8</x:f>
        <x:v xml:space="preserve">This reflects the effective rent for space in a 26,040-square-foot, multi-tenant industrial building located in the Airport 85 Business Park just east of the Billy Graham Parkway/Interstate 85 interchange within the city limits of Charlotte in Mecklenburg County, North Carolina. The unit has approximately 1,200 square feet of office space and one dock-high door. The triple-net lease was executed turn-key with a starting rent of $9.75 per square foot per year and no escalations. The space was on the market for about 10 months with an asking rental rate of $10.00 per square foot.  </x:v>
      </x:c>
      <x:c r="B29" s="493"/>
    </x:row>
  </x:sheetData>
  <x:mergeCells count="7">
    <x:mergeCell ref="A29:B29"/>
    <x:mergeCell ref="A1:B1"/>
    <x:mergeCell ref="A2:B2"/>
    <x:mergeCell ref="A3:A4"/>
    <x:mergeCell ref="A6:B6"/>
    <x:mergeCell ref="A15:B15"/>
    <x:mergeCell ref="A28:B28"/>
  </x:mergeCells>
  <x:pageMargins left="0.7" right="0.7" top="0.75" bottom="0.75" header="0.3" footer="0.3"/>
  <x:pageSetup orientation="portrait" r:id="rId1"/>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38A5CEB-38BD-4F16-9748-14B8ADA6927D}" mc:Ignorable="x14ac xr xr2 xr3">
  <x:sheetPr>
    <x:tabColor rgb="FFC00000"/>
  </x:sheetPr>
  <x:dimension ref="A1:B29"/>
  <x:sheetViews>
    <x:sheetView workbookViewId="0">
      <x:selection sqref="A1:B29"/>
    </x:sheetView>
  </x:sheetViews>
  <x:sheetFormatPr defaultRowHeight="15" customHeight="1" x14ac:dyDescent="0.25"/>
  <x:cols>
    <x:col min="1" max="2" width="22.7109375" style="65" customWidth="1"/>
    <x:col min="3" max="16384" width="9.140625" style="65"/>
  </x:cols>
  <x:sheetData>
    <x:row r="1" spans="1:2" ht="15" customHeight="1" x14ac:dyDescent="0.25">
      <x:c r="A1" s="494" t="s">
        <x:v>86</x:v>
      </x:c>
      <x:c r="B1" s="494" t="e">
        <x:f>RG!#REF!</x:f>
        <x:v>#REF!</x:v>
      </x:c>
    </x:row>
    <x:row r="2" spans="1:2" ht="15" customHeight="1" x14ac:dyDescent="0.25">
      <x:c r="A2" s="495" t="s">
        <x:v>32</x:v>
      </x:c>
      <x:c r="B2" s="495"/>
    </x:row>
    <x:row r="3" spans="1:2" ht="15" customHeight="1" x14ac:dyDescent="0.25">
      <x:c r="A3" s="493" t="str">
        <x:f>RSum!B1</x:f>
        <x:v>Address</x:v>
      </x:c>
      <x:c r="B3" s="51" t="str">
        <x:f>RSum!B9</x:f>
        <x:v>201 Southside Dr</x:v>
      </x:c>
    </x:row>
    <x:row r="4" spans="1:2" ht="15" customHeight="1" x14ac:dyDescent="0.25">
      <x:c r="A4" s="493"/>
      <x:c r="B4" s="182" t="str">
        <x:f>RSum!C9</x:f>
        <x:v>Charlotte, NC</x:v>
      </x:c>
    </x:row>
    <x:row r="5" spans="1:2" ht="15" customHeight="1" x14ac:dyDescent="0.25">
      <x:c r="A5" s="182" t="str">
        <x:f>RSum!D1</x:f>
        <x:v>Parcel No.(s)</x:v>
      </x:c>
      <x:c r="B5" s="51" t="str">
        <x:f>RSum!D9</x:f>
        <x:v>149-031-05</x:v>
      </x:c>
    </x:row>
    <x:row r="6" spans="1:2" ht="15" customHeight="1" x14ac:dyDescent="0.25">
      <x:c r="A6" s="495" t="s">
        <x:v>33</x:v>
      </x:c>
      <x:c r="B6" s="495"/>
    </x:row>
    <x:row r="7" spans="1:2" s="213" customFormat="1" ht="15" customHeight="1" x14ac:dyDescent="0.25">
      <x:c r="A7" s="212" t="str">
        <x:f>RSum!J1</x:f>
        <x:v>Property Rights Conveyed</x:v>
      </x:c>
      <x:c r="B7" s="212" t="str">
        <x:f>RSum!J9</x:f>
        <x:v>Typical</x:v>
      </x:c>
    </x:row>
    <x:row r="8" spans="1:2" ht="15" customHeight="1" x14ac:dyDescent="0.25">
      <x:c r="A8" s="52" t="str">
        <x:f>RSum!E1</x:f>
        <x:v>Tenant</x:v>
      </x:c>
      <x:c r="B8" s="53" t="str">
        <x:f>RSum!E9</x:f>
        <x:v>J&amp;B Construction</x:v>
      </x:c>
    </x:row>
    <x:row r="9" spans="1:2" ht="15" customHeight="1" x14ac:dyDescent="0.25">
      <x:c r="A9" s="52" t="str">
        <x:f>RSum!F1</x:f>
        <x:v>Lease Type</x:v>
      </x:c>
      <x:c r="B9" s="54" t="str">
        <x:f>RSum!F9</x:f>
        <x:v>Direct</x:v>
      </x:c>
    </x:row>
    <x:row r="10" spans="1:2" ht="15" customHeight="1" x14ac:dyDescent="0.25">
      <x:c r="A10" s="52" t="str">
        <x:f>RSum!G1</x:f>
        <x:v>Lease Date</x:v>
      </x:c>
      <x:c r="B10" s="210">
        <x:f>RSum!G9</x:f>
        <x:v>44013</x:v>
      </x:c>
    </x:row>
    <x:row r="11" spans="1:2" ht="15" customHeight="1" x14ac:dyDescent="0.25">
      <x:c r="A11" s="52" t="str">
        <x:f>RSum!H1</x:f>
        <x:v>Lease Term</x:v>
      </x:c>
      <x:c r="B11" s="209">
        <x:f>RSum!H9</x:f>
        <x:v>60</x:v>
      </x:c>
    </x:row>
    <x:row r="12" spans="1:2" ht="15" customHeight="1" x14ac:dyDescent="0.25">
      <x:c r="A12" s="52" t="str">
        <x:f>RSum!I1</x:f>
        <x:v>Lease Rate (S/SF/Yr)</x:v>
      </x:c>
      <x:c r="B12" s="208">
        <x:f>RSum!I9</x:f>
        <x:v>9.36</x:v>
      </x:c>
    </x:row>
    <x:row r="13" spans="1:2" ht="15" customHeight="1" x14ac:dyDescent="0.25">
      <x:c r="A13" s="52" t="str">
        <x:f>RSum!K1</x:f>
        <x:v>Expense Structure</x:v>
      </x:c>
      <x:c r="B13" s="182" t="str">
        <x:f>RSum!K9</x:f>
        <x:v>NNN</x:v>
      </x:c>
    </x:row>
    <x:row r="14" spans="1:2" ht="15" customHeight="1" x14ac:dyDescent="0.25">
      <x:c r="A14" s="52" t="str">
        <x:f>RSum!L1</x:f>
        <x:v>Verification</x:v>
      </x:c>
      <x:c r="B14" s="182" t="str">
        <x:f>RSum!L9</x:f>
        <x:v>Listing Broker</x:v>
      </x:c>
    </x:row>
    <x:row r="15" spans="1:2" ht="15" customHeight="1" x14ac:dyDescent="0.25">
      <x:c r="A15" s="495" t="s">
        <x:v>34</x:v>
      </x:c>
      <x:c r="B15" s="495"/>
    </x:row>
    <x:row r="16" spans="1:2" ht="15" customHeight="1" x14ac:dyDescent="0.25">
      <x:c r="A16" s="59" t="str">
        <x:f>RSum!M1</x:f>
        <x:v>Rentable Building Area (SF)</x:v>
      </x:c>
      <x:c r="B16" s="60">
        <x:f>RSum!M9</x:f>
        <x:v>13700</x:v>
      </x:c>
    </x:row>
    <x:row r="17" spans="1:2" ht="15" customHeight="1" x14ac:dyDescent="0.25">
      <x:c r="A17" s="61" t="str">
        <x:f>RSum!O1</x:f>
        <x:v>Year Built</x:v>
      </x:c>
      <x:c r="B17" s="182">
        <x:f>RSum!O9</x:f>
        <x:v>1967</x:v>
      </x:c>
    </x:row>
    <x:row r="18" spans="1:2" ht="15" customHeight="1" x14ac:dyDescent="0.25">
      <x:c r="A18" s="59" t="str">
        <x:f>RSum!R1</x:f>
        <x:v>Quality</x:v>
      </x:c>
      <x:c r="B18" s="62" t="str">
        <x:f>RSum!R9</x:f>
        <x:v>Average</x:v>
      </x:c>
    </x:row>
    <x:row r="19" spans="1:2" ht="15" customHeight="1" x14ac:dyDescent="0.25">
      <x:c r="A19" s="59" t="str">
        <x:f>RSum!S1</x:f>
        <x:v>Effective Age/Condition</x:v>
      </x:c>
      <x:c r="B19" s="64">
        <x:f>RSum!S9</x:f>
        <x:v>10</x:v>
      </x:c>
    </x:row>
    <x:row r="20" spans="1:2" ht="15" customHeight="1" x14ac:dyDescent="0.25">
      <x:c r="A20" s="59" t="str">
        <x:f>RSum!Q1</x:f>
        <x:v>Finished Ratio</x:v>
      </x:c>
      <x:c r="B20" s="455">
        <x:f>RSum!Q9</x:f>
        <x:v>0.23</x:v>
      </x:c>
    </x:row>
    <x:row r="21" spans="1:2" ht="15" customHeight="1" x14ac:dyDescent="0.25">
      <x:c r="A21" s="59" t="str">
        <x:f>RSum!U1</x:f>
        <x:v>Access</x:v>
      </x:c>
      <x:c r="B21" s="60" t="str">
        <x:f>RSum!U9</x:f>
        <x:v>Good</x:v>
      </x:c>
    </x:row>
    <x:row r="22" spans="1:2" ht="15" customHeight="1" x14ac:dyDescent="0.25">
      <x:c r="A22" s="59" t="str">
        <x:f>RSum!W1</x:f>
        <x:v>Parking Ratio</x:v>
      </x:c>
      <x:c r="B22" s="63">
        <x:f>RSum!W9</x:f>
        <x:v>0.65693430656934315</x:v>
      </x:c>
    </x:row>
    <x:row r="23" spans="1:2" ht="15" customHeight="1" x14ac:dyDescent="0.25">
      <x:c r="A23" s="59" t="str">
        <x:f>RSum!T1</x:f>
        <x:v>Eave Height</x:v>
      </x:c>
      <x:c r="B23" s="411">
        <x:f>RSum!T9</x:f>
        <x:v>16</x:v>
      </x:c>
    </x:row>
    <x:row r="24" spans="1:2" ht="15" customHeight="1" x14ac:dyDescent="0.25">
      <x:c r="A24" s="59" t="str">
        <x:f>RSum!Y1</x:f>
        <x:v>Loading</x:v>
      </x:c>
      <x:c r="B24" s="63" t="str">
        <x:f>RSum!Y9</x:f>
        <x:v>0 GL/2 DH</x:v>
      </x:c>
    </x:row>
    <x:row r="25" spans="1:2" ht="15" customHeight="1" x14ac:dyDescent="0.25">
      <x:c r="A25" s="59" t="str">
        <x:f>RSum!Z1</x:f>
        <x:v>Loading SF</x:v>
      </x:c>
      <x:c r="B25" s="60">
        <x:f>RSum!Z9</x:f>
        <x:v>6850</x:v>
      </x:c>
    </x:row>
    <x:row r="26" spans="1:2" ht="15" customHeight="1" x14ac:dyDescent="0.25">
      <x:c r="A26" s="61" t="str">
        <x:f>RSum!X1</x:f>
        <x:v>Building Use</x:v>
      </x:c>
      <x:c r="B26" s="182" t="str">
        <x:f>RSum!X9</x:f>
        <x:v>Industrial</x:v>
      </x:c>
    </x:row>
    <x:row r="27" spans="1:2" ht="15" customHeight="1" x14ac:dyDescent="0.25">
      <x:c r="A27" s="61" t="str">
        <x:f>RSum!AA1</x:f>
        <x:v>Other</x:v>
      </x:c>
      <x:c r="B27" s="182" t="str">
        <x:f>RSum!AA9</x:f>
        <x:v>None</x:v>
      </x:c>
    </x:row>
    <x:row r="28" spans="1:2" ht="15" customHeight="1" x14ac:dyDescent="0.25">
      <x:c r="A28" s="495" t="s">
        <x:v>22</x:v>
      </x:c>
      <x:c r="B28" s="495"/>
    </x:row>
    <x:row r="29" spans="1:2" ht="15" customHeight="1" x14ac:dyDescent="0.25">
      <x:c r="A29" s="493" t="str">
        <x:f>RSum!AC9</x:f>
        <x:v>This reflects the effective rent for space in a 13,700-square-foot, freestanding industrial building located just northeast of the Billy Graham Parkway/Interstate 77 interchange with the city limits of Charlotte in Mecklenburg County, North Carolina. The building is demised into 3,151 square feet of office space and 10,549 square feet of warehouse space with two dock-high doors. The triple-net lease was executed turn-key with a starting rent of $9.36 per square foot per year and no escalations.</x:v>
      </x:c>
      <x:c r="B29" s="493"/>
    </x:row>
  </x:sheetData>
  <x:mergeCells count="7">
    <x:mergeCell ref="A29:B29"/>
    <x:mergeCell ref="A1:B1"/>
    <x:mergeCell ref="A2:B2"/>
    <x:mergeCell ref="A3:A4"/>
    <x:mergeCell ref="A6:B6"/>
    <x:mergeCell ref="A15:B15"/>
    <x:mergeCell ref="A28:B28"/>
  </x:mergeCells>
  <x:pageMargins left="0.7" right="0.7" top="0.75" bottom="0.75" header="0.3" footer="0.3"/>
  <x:pageSetup orientation="portrait" r:id="rId1"/>
</x:worksheet>
</file>

<file path=xl/worksheets/sheet15.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DFDF6A2-A3D2-4B77-9F3B-A774A78527EB}" mc:Ignorable="x14ac xr xr2 xr3">
  <x:sheetPr>
    <x:tabColor rgb="FFC00000"/>
  </x:sheetPr>
  <x:dimension ref="A2:G9"/>
  <x:sheetViews>
    <x:sheetView workbookViewId="0">
      <x:selection activeCell="F15" sqref="F15"/>
    </x:sheetView>
  </x:sheetViews>
  <x:sheetFormatPr defaultRowHeight="17.100000000000001" customHeight="1" x14ac:dyDescent="0.25"/>
  <x:cols>
    <x:col min="1" max="1" width="9.28515625" style="124" bestFit="1" customWidth="1"/>
    <x:col min="2" max="2" width="9.140625" style="124"/>
    <x:col min="3" max="3" width="9.140625" style="125"/>
    <x:col min="4" max="4" width="19.42578125" style="125" customWidth="1"/>
    <x:col min="5" max="5" width="25.5703125" style="125" customWidth="1"/>
    <x:col min="6" max="6" width="20" style="125" customWidth="1"/>
    <x:col min="7" max="7" width="24.140625" style="125" customWidth="1"/>
    <x:col min="8" max="8" width="9.140625" style="125"/>
    <x:col min="9" max="9" width="10.5703125" style="125" customWidth="1"/>
    <x:col min="10" max="10" width="18.42578125" style="125" bestFit="1" customWidth="1"/>
    <x:col min="11" max="11" width="16.28515625" style="125" bestFit="1" customWidth="1"/>
    <x:col min="12" max="13" width="15.140625" style="125" bestFit="1" customWidth="1"/>
    <x:col min="14" max="14" width="17.140625" style="125" bestFit="1" customWidth="1"/>
    <x:col min="15" max="16384" width="9.140625" style="125"/>
  </x:cols>
  <x:sheetData>
    <x:row r="2" spans="1:7" ht="17.100000000000001" customHeight="1" x14ac:dyDescent="0.25">
      <x:c r="A2" s="124" t="s">
        <x:v>62</x:v>
      </x:c>
    </x:row>
    <x:row r="4" spans="1:7" ht="17.100000000000001" customHeight="1" x14ac:dyDescent="0.25">
      <x:c r="A4" s="124" t="s">
        <x:v>26</x:v>
      </x:c>
      <x:c r="B4" s="145">
        <x:f>RG!C31</x:f>
        <x:v>16268</x:v>
      </x:c>
      <x:c r="D4" s="126"/>
      <x:c r="E4" s="214" t="str">
        <x:f>RSum!M1</x:f>
        <x:v>Rentable Building Area (SF)</x:v>
      </x:c>
      <x:c r="F4" s="127" t="s">
        <x:v>63</x:v>
      </x:c>
      <x:c r="G4" s="127" t="s">
        <x:v>64</x:v>
      </x:c>
    </x:row>
    <x:row r="5" spans="1:7" ht="17.100000000000001" customHeight="1" x14ac:dyDescent="0.25">
      <x:c r="A5" s="124" t="s">
        <x:v>72</x:v>
      </x:c>
      <x:c r="B5" s="146">
        <x:v>-0.1</x:v>
      </x:c>
      <x:c r="D5" s="128" t="s">
        <x:v>88</x:v>
      </x:c>
      <x:c r="E5" s="129">
        <x:f>RG!D31</x:f>
        <x:v>18090</x:v>
      </x:c>
      <x:c r="F5" s="129">
        <x:f>ABS(E5-$B$4)</x:f>
        <x:v>1822</x:v>
      </x:c>
      <x:c r="G5" s="130">
        <x:f>F5/F9*B5*-1</x:f>
        <x:v>1.4414556962025316E-2</x:v>
      </x:c>
    </x:row>
    <x:row r="6" spans="1:7" ht="17.100000000000001" customHeight="1" x14ac:dyDescent="0.25">
      <x:c r="D6" s="128" t="s">
        <x:v>87</x:v>
      </x:c>
      <x:c r="E6" s="129">
        <x:f>RG!E31</x:f>
        <x:v>16492</x:v>
      </x:c>
      <x:c r="F6" s="129">
        <x:f>ABS(E6-$B$4)</x:f>
        <x:v>224</x:v>
      </x:c>
      <x:c r="G6" s="130">
        <x:f>F6/F9*B5*-1</x:f>
        <x:v>1.7721518987341774E-3</x:v>
      </x:c>
    </x:row>
    <x:row r="7" spans="1:7" ht="17.100000000000001" customHeight="1" x14ac:dyDescent="0.25">
      <x:c r="D7" s="131" t="s">
        <x:v>26</x:v>
      </x:c>
      <x:c r="E7" s="132">
        <x:f>RG!C31</x:f>
        <x:v>16268</x:v>
      </x:c>
      <x:c r="F7" s="132" t="s">
        <x:v>65</x:v>
      </x:c>
      <x:c r="G7" s="133" t="s">
        <x:v>65</x:v>
      </x:c>
    </x:row>
    <x:row r="8" spans="1:7" ht="17.100000000000001" customHeight="1" x14ac:dyDescent="0.25">
      <x:c r="D8" s="128" t="s">
        <x:v>89</x:v>
      </x:c>
      <x:c r="E8" s="129">
        <x:f>RG!G31</x:f>
        <x:v>13700</x:v>
      </x:c>
      <x:c r="F8" s="129">
        <x:f>ABS(E8-$B$4)</x:f>
        <x:v>2568</x:v>
      </x:c>
      <x:c r="G8" s="130">
        <x:f>F8/F9*B5</x:f>
        <x:v>-2.0316455696202534E-2</x:v>
      </x:c>
    </x:row>
    <x:row r="9" spans="1:7" ht="17.100000000000001" customHeight="1" x14ac:dyDescent="0.25">
      <x:c r="D9" s="128" t="s">
        <x:v>90</x:v>
      </x:c>
      <x:c r="E9" s="129">
        <x:f>RG!F31</x:f>
        <x:v>3628</x:v>
      </x:c>
      <x:c r="F9" s="129">
        <x:f>ABS(E9-$B$4)</x:f>
        <x:v>12640</x:v>
      </x:c>
      <x:c r="G9" s="130">
        <x:f>B5</x:f>
        <x:v>-0.1</x:v>
      </x:c>
    </x:row>
  </x:sheetData>
  <x:sortState xmlns:xlrd2="http://schemas.microsoft.com/office/spreadsheetml/2017/richdata2" ref="D5:G9">
    <x:sortCondition descending="1" ref="E5:E9"/>
  </x:sortState>
  <x:pageMargins left="0.7" right="0.7" top="0.75" bottom="0.75" header="0.3" footer="0.3"/>
  <x:pageSetup orientation="portrait" r:id="rId1"/>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EB4536B-FF86-4C3C-813D-F8513DF886E6}" mc:Ignorable="x14ac xr xr2 xr3">
  <x:sheetPr>
    <x:tabColor rgb="FFC00000"/>
  </x:sheetPr>
  <x:dimension ref="A1:K80"/>
  <x:sheetViews>
    <x:sheetView topLeftCell="A49" workbookViewId="0">
      <x:selection activeCell="I76" sqref="I76:K80"/>
    </x:sheetView>
  </x:sheetViews>
  <x:sheetFormatPr defaultRowHeight="12" x14ac:dyDescent="0.25"/>
  <x:cols>
    <x:col min="1" max="1" width="9.140625" style="482"/>
    <x:col min="2" max="2" width="23.85546875" style="482" customWidth="1"/>
    <x:col min="3" max="3" width="20.42578125" style="47" customWidth="1"/>
    <x:col min="4" max="4" width="19" style="482" customWidth="1"/>
    <x:col min="5" max="5" width="17.7109375" style="482" customWidth="1"/>
    <x:col min="6" max="6" width="18.85546875" style="482" customWidth="1"/>
    <x:col min="7" max="7" width="23.28515625" style="482" customWidth="1"/>
    <x:col min="8" max="8" width="3.5703125" style="482" customWidth="1"/>
    <x:col min="9" max="9" width="32.42578125" style="482" customWidth="1"/>
    <x:col min="10" max="10" width="26.140625" style="482" customWidth="1"/>
    <x:col min="11" max="11" width="30.7109375" style="482" customWidth="1"/>
    <x:col min="12" max="16384" width="9.140625" style="482"/>
  </x:cols>
  <x:sheetData>
    <x:row r="1" spans="2:9" s="481" customFormat="1" x14ac:dyDescent="0.25">
      <x:c r="B1" s="66"/>
      <x:c r="C1" s="67" t="s">
        <x:v>26</x:v>
      </x:c>
      <x:c r="D1" s="67" t="s">
        <x:v>88</x:v>
      </x:c>
      <x:c r="E1" s="67" t="s">
        <x:v>87</x:v>
      </x:c>
      <x:c r="F1" s="67" t="s">
        <x:v>90</x:v>
      </x:c>
      <x:c r="G1" s="68" t="s">
        <x:v>89</x:v>
      </x:c>
    </x:row>
    <x:row r="2" spans="2:9" x14ac:dyDescent="0.25">
      <x:c r="B2" s="70" t="s">
        <x:v>32</x:v>
      </x:c>
      <x:c r="C2" s="71"/>
      <x:c r="D2" s="71"/>
      <x:c r="E2" s="71"/>
      <x:c r="F2" s="71"/>
      <x:c r="G2" s="71"/>
    </x:row>
    <x:row r="3" spans="2:9" ht="24" x14ac:dyDescent="0.25">
      <x:c r="B3" s="498" t="s">
        <x:v>1</x:v>
      </x:c>
      <x:c r="C3" s="73" t="str">
        <x:f>RSum!B3</x:f>
        <x:v>4735 Dwight Evans Rd</x:v>
      </x:c>
      <x:c r="D3" s="73" t="str">
        <x:f>'R1'!B3</x:f>
        <x:v>647 Michael Wylie Dr</x:v>
      </x:c>
      <x:c r="E3" s="73" t="str">
        <x:f>'R2'!B3</x:f>
        <x:v>3300 Oak Lake Blvd</x:v>
      </x:c>
      <x:c r="F3" s="73" t="str">
        <x:f>'R3'!B3</x:f>
        <x:v>2732 Interstate St, Ste F</x:v>
      </x:c>
      <x:c r="G3" s="73" t="str">
        <x:f>'R4'!B3</x:f>
        <x:v>201 Southside Dr</x:v>
      </x:c>
      <x:c r="I3" s="483"/>
    </x:row>
    <x:row r="4" spans="2:9" x14ac:dyDescent="0.25">
      <x:c r="B4" s="498"/>
      <x:c r="C4" s="73" t="str">
        <x:f>RSum!C3</x:f>
        <x:v>Charlotte, NC</x:v>
      </x:c>
      <x:c r="D4" s="73" t="str">
        <x:f>'R1'!B4</x:f>
        <x:v>Charlotte, NC</x:v>
      </x:c>
      <x:c r="E4" s="73" t="str">
        <x:f>'R2'!B4</x:f>
        <x:v>Charlotte, NC</x:v>
      </x:c>
      <x:c r="F4" s="73" t="str">
        <x:f>'R3'!B4</x:f>
        <x:v>Charlotte, NC</x:v>
      </x:c>
      <x:c r="G4" s="73" t="str">
        <x:f>'R4'!B4</x:f>
        <x:v>Charlotte, NC</x:v>
      </x:c>
    </x:row>
    <x:row r="5" spans="2:9" x14ac:dyDescent="0.25">
      <x:c r="B5" s="472" t="s">
        <x:v>3</x:v>
      </x:c>
      <x:c r="C5" s="77" t="str">
        <x:f>RSum!D3</x:f>
        <x:v>145-301-22</x:v>
      </x:c>
      <x:c r="D5" s="73" t="str">
        <x:f>'R1'!B5</x:f>
        <x:v>145-271-21</x:v>
      </x:c>
      <x:c r="E5" s="73" t="str">
        <x:f>'R2'!B5</x:f>
        <x:v>143-261-05</x:v>
      </x:c>
      <x:c r="F5" s="73" t="str">
        <x:f>'R3'!B5</x:f>
        <x:v>061-123-12</x:v>
      </x:c>
      <x:c r="G5" s="73" t="str">
        <x:f>'R4'!B5</x:f>
        <x:v>149-031-05</x:v>
      </x:c>
    </x:row>
    <x:row r="6" spans="2:9" x14ac:dyDescent="0.25">
      <x:c r="B6" s="70" t="s">
        <x:v>33</x:v>
      </x:c>
      <x:c r="C6" s="71"/>
      <x:c r="D6" s="71"/>
      <x:c r="E6" s="71"/>
      <x:c r="F6" s="71"/>
      <x:c r="G6" s="71"/>
    </x:row>
    <x:row r="7" spans="2:9" x14ac:dyDescent="0.25">
      <x:c r="B7" s="472" t="str">
        <x:f>RSum!E1</x:f>
        <x:v>Tenant</x:v>
      </x:c>
      <x:c r="C7" s="74"/>
      <x:c r="D7" s="78" t="str">
        <x:f>'R1'!B8</x:f>
        <x:v>Renner</x:v>
      </x:c>
      <x:c r="E7" s="78" t="str">
        <x:f>'R2'!B8</x:f>
        <x:v>Zoe Baby Products</x:v>
      </x:c>
      <x:c r="F7" s="78" t="str">
        <x:f>'R3'!B8</x:f>
        <x:v>Confidential</x:v>
      </x:c>
      <x:c r="G7" s="78" t="str">
        <x:f>'R4'!B8</x:f>
        <x:v>J&amp;B Construction</x:v>
      </x:c>
    </x:row>
    <x:row r="8" spans="2:9" x14ac:dyDescent="0.25">
      <x:c r="B8" s="472" t="str">
        <x:f>RSum!F1</x:f>
        <x:v>Lease Type</x:v>
      </x:c>
      <x:c r="C8" s="74"/>
      <x:c r="D8" s="80" t="str">
        <x:f>'R1'!B9</x:f>
        <x:v>Direct</x:v>
      </x:c>
      <x:c r="E8" s="80" t="str">
        <x:f>'R2'!B9</x:f>
        <x:v>Direct</x:v>
      </x:c>
      <x:c r="F8" s="80" t="str">
        <x:f>'R3'!B9</x:f>
        <x:v>Direct</x:v>
      </x:c>
      <x:c r="G8" s="80" t="str">
        <x:f>'R4'!B9</x:f>
        <x:v>Direct</x:v>
      </x:c>
    </x:row>
    <x:row r="9" spans="2:9" x14ac:dyDescent="0.25">
      <x:c r="B9" s="472" t="str">
        <x:f>RSum!G1</x:f>
        <x:v>Lease Date</x:v>
      </x:c>
      <x:c r="C9" s="74"/>
      <x:c r="D9" s="238">
        <x:f>'R1'!B10</x:f>
        <x:v>44409</x:v>
      </x:c>
      <x:c r="E9" s="238">
        <x:f>'R2'!B10</x:f>
        <x:v>44256</x:v>
      </x:c>
      <x:c r="F9" s="238">
        <x:f>'R3'!B10</x:f>
        <x:v>44348</x:v>
      </x:c>
      <x:c r="G9" s="237">
        <x:f>'R4'!B10</x:f>
        <x:v>44013</x:v>
      </x:c>
    </x:row>
    <x:row r="10" spans="2:9" x14ac:dyDescent="0.25">
      <x:c r="B10" s="472" t="str">
        <x:f>RSum!H1</x:f>
        <x:v>Lease Term</x:v>
      </x:c>
      <x:c r="C10" s="74"/>
      <x:c r="D10" s="236">
        <x:f>'R1'!B11</x:f>
        <x:v>120</x:v>
      </x:c>
      <x:c r="E10" s="236">
        <x:f>'R2'!B11</x:f>
        <x:v>72</x:v>
      </x:c>
      <x:c r="F10" s="236">
        <x:f>'R3'!B11</x:f>
        <x:v>36</x:v>
      </x:c>
      <x:c r="G10" s="236">
        <x:f>'R4'!B11</x:f>
        <x:v>60</x:v>
      </x:c>
    </x:row>
    <x:row r="11" spans="2:9" x14ac:dyDescent="0.25">
      <x:c r="B11" s="472" t="str">
        <x:f>RSum!I1</x:f>
        <x:v>Lease Rate (S/SF/Yr)</x:v>
      </x:c>
      <x:c r="C11" s="74"/>
      <x:c r="D11" s="82">
        <x:f>'R1'!B12</x:f>
        <x:v>11.24</x:v>
      </x:c>
      <x:c r="E11" s="82">
        <x:f>'R2'!B12</x:f>
        <x:v>8.51</x:v>
      </x:c>
      <x:c r="F11" s="82">
        <x:f>'R3'!B12</x:f>
        <x:v>9.76</x:v>
      </x:c>
      <x:c r="G11" s="82">
        <x:f>'R4'!B12</x:f>
        <x:v>9.36</x:v>
      </x:c>
    </x:row>
    <x:row r="12" spans="2:9" x14ac:dyDescent="0.25">
      <x:c r="B12" s="472" t="str">
        <x:f>RSum!K1</x:f>
        <x:v>Expense Structure</x:v>
      </x:c>
      <x:c r="C12" s="74"/>
      <x:c r="D12" s="78" t="str">
        <x:f>'R1'!B13</x:f>
        <x:v>NNN</x:v>
      </x:c>
      <x:c r="E12" s="78" t="str">
        <x:f>'R2'!B13</x:f>
        <x:v>NNN</x:v>
      </x:c>
      <x:c r="F12" s="78" t="str">
        <x:f>'R3'!B13</x:f>
        <x:v>NNN</x:v>
      </x:c>
      <x:c r="G12" s="78" t="str">
        <x:f>'R4'!B13</x:f>
        <x:v>NNN</x:v>
      </x:c>
    </x:row>
    <x:row r="13" spans="2:9" x14ac:dyDescent="0.25">
      <x:c r="B13" s="70" t="s">
        <x:v>34</x:v>
      </x:c>
      <x:c r="C13" s="71"/>
      <x:c r="D13" s="71"/>
      <x:c r="E13" s="71"/>
      <x:c r="F13" s="71"/>
      <x:c r="G13" s="71"/>
    </x:row>
    <x:row r="14" spans="2:9" x14ac:dyDescent="0.25">
      <x:c r="B14" s="86" t="str">
        <x:f>RSum!M1</x:f>
        <x:v>Rentable Building Area (SF)</x:v>
      </x:c>
      <x:c r="C14" s="87">
        <x:f>RSum!M3</x:f>
        <x:v>16268</x:v>
      </x:c>
      <x:c r="D14" s="87">
        <x:f>'R1'!B16</x:f>
        <x:v>18090</x:v>
      </x:c>
      <x:c r="E14" s="87">
        <x:f>'R2'!B16</x:f>
        <x:v>16492</x:v>
      </x:c>
      <x:c r="F14" s="87">
        <x:f>'R3'!B16</x:f>
        <x:v>3628</x:v>
      </x:c>
      <x:c r="G14" s="87">
        <x:f>'R4'!B16</x:f>
        <x:v>13700</x:v>
      </x:c>
    </x:row>
    <x:row r="15" spans="2:9" x14ac:dyDescent="0.25">
      <x:c r="B15" s="89" t="str">
        <x:f>RSum!O1</x:f>
        <x:v>Year Built</x:v>
      </x:c>
      <x:c r="C15" s="73">
        <x:f>RSum!O3</x:f>
        <x:v>1989</x:v>
      </x:c>
      <x:c r="D15" s="73">
        <x:f>'R1'!B17</x:f>
        <x:v>1982</x:v>
      </x:c>
      <x:c r="E15" s="73">
        <x:f>'R2'!B17</x:f>
        <x:v>1998</x:v>
      </x:c>
      <x:c r="F15" s="73">
        <x:f>'R3'!B17</x:f>
        <x:v>1983</x:v>
      </x:c>
      <x:c r="G15" s="73">
        <x:f>'R4'!B17</x:f>
        <x:v>1967</x:v>
      </x:c>
    </x:row>
    <x:row r="16" spans="2:9" x14ac:dyDescent="0.25">
      <x:c r="B16" s="86" t="str">
        <x:f>RSum!R1</x:f>
        <x:v>Quality</x:v>
      </x:c>
      <x:c r="C16" s="90" t="str">
        <x:f>RSum!R3</x:f>
        <x:v>Average</x:v>
      </x:c>
      <x:c r="D16" s="90" t="str">
        <x:f>'R1'!B18</x:f>
        <x:v>Good</x:v>
      </x:c>
      <x:c r="E16" s="90" t="str">
        <x:f>'R2'!B18</x:f>
        <x:v>Good</x:v>
      </x:c>
      <x:c r="F16" s="90" t="str">
        <x:f>'R3'!B18</x:f>
        <x:v>Good</x:v>
      </x:c>
      <x:c r="G16" s="90" t="str">
        <x:f>'R4'!B18</x:f>
        <x:v>Average</x:v>
      </x:c>
    </x:row>
    <x:row r="17" spans="1:9" x14ac:dyDescent="0.25">
      <x:c r="B17" s="86" t="str">
        <x:f>RSum!S1</x:f>
        <x:v>Effective Age/Condition</x:v>
      </x:c>
      <x:c r="C17" s="92">
        <x:f>RSum!S3</x:f>
        <x:v>10</x:v>
      </x:c>
      <x:c r="D17" s="92">
        <x:f>'R1'!B19</x:f>
        <x:v>5</x:v>
      </x:c>
      <x:c r="E17" s="93">
        <x:f>'R2'!B19</x:f>
        <x:v>7</x:v>
      </x:c>
      <x:c r="F17" s="93">
        <x:f>'R3'!B19</x:f>
        <x:v>10</x:v>
      </x:c>
      <x:c r="G17" s="92">
        <x:f>'R4'!B19</x:f>
        <x:v>10</x:v>
      </x:c>
    </x:row>
    <x:row r="18" spans="1:9" x14ac:dyDescent="0.25">
      <x:c r="B18" s="86" t="str">
        <x:f>RSum!U1</x:f>
        <x:v>Access</x:v>
      </x:c>
      <x:c r="C18" s="87" t="str">
        <x:f>RSum!U3</x:f>
        <x:v>Good</x:v>
      </x:c>
      <x:c r="D18" s="87" t="str">
        <x:f>'R1'!B21</x:f>
        <x:v>Good</x:v>
      </x:c>
      <x:c r="E18" s="87" t="str">
        <x:f>'R2'!B21</x:f>
        <x:v>Good</x:v>
      </x:c>
      <x:c r="F18" s="87" t="str">
        <x:f>'R3'!B21</x:f>
        <x:v>Good</x:v>
      </x:c>
      <x:c r="G18" s="87" t="str">
        <x:f>'R4'!B21</x:f>
        <x:v>Good</x:v>
      </x:c>
    </x:row>
    <x:row r="19" spans="1:9" x14ac:dyDescent="0.25">
      <x:c r="B19" s="86" t="str">
        <x:f>RSum!Q1</x:f>
        <x:v>Finished Ratio</x:v>
      </x:c>
      <x:c r="C19" s="408">
        <x:f>RSum!Q3</x:f>
        <x:v>7.4317678878780422E-2</x:v>
      </x:c>
      <x:c r="D19" s="408">
        <x:f>RSum!Q6</x:f>
        <x:v>0.10945273631840796</x:v>
      </x:c>
      <x:c r="E19" s="408">
        <x:f>RSum!Q7</x:f>
        <x:v>8.9983022071307303E-2</x:v>
      </x:c>
      <x:c r="F19" s="408">
        <x:f>RSum!Q8</x:f>
        <x:v>0.33076074972436603</x:v>
      </x:c>
      <x:c r="G19" s="408">
        <x:f>RSum!Q9</x:f>
        <x:v>0.23</x:v>
      </x:c>
    </x:row>
    <x:row r="20" spans="1:9" x14ac:dyDescent="0.25">
      <x:c r="B20" s="86" t="str">
        <x:f>RSum!W1</x:f>
        <x:v>Parking Ratio</x:v>
      </x:c>
      <x:c r="C20" s="91">
        <x:f>RSum!W3</x:f>
        <x:v>0.91727241259951542</x:v>
      </x:c>
      <x:c r="D20" s="91">
        <x:f>'R1'!B22</x:f>
        <x:v>0.9397457158651189</x:v>
      </x:c>
      <x:c r="E20" s="91">
        <x:f>'R2'!B22</x:f>
        <x:v>0.54571913655105497</x:v>
      </x:c>
      <x:c r="F20" s="91">
        <x:f>'R3'!B22</x:f>
        <x:v>2.1121351766513059</x:v>
      </x:c>
      <x:c r="G20" s="91">
        <x:f>'R4'!B22</x:f>
        <x:v>0.65693430656934315</x:v>
      </x:c>
    </x:row>
    <x:row r="21" spans="1:9" x14ac:dyDescent="0.25">
      <x:c r="B21" s="86" t="str">
        <x:f>RSum!T1</x:f>
        <x:v>Eave Height</x:v>
      </x:c>
      <x:c r="C21" s="414">
        <x:f>RSum!T3</x:f>
        <x:v>18</x:v>
      </x:c>
      <x:c r="D21" s="414">
        <x:f>RSum!T6</x:f>
        <x:v>15</x:v>
      </x:c>
      <x:c r="E21" s="414">
        <x:f>RSum!T7</x:f>
        <x:v>16</x:v>
      </x:c>
      <x:c r="F21" s="414">
        <x:f>RSum!T8</x:f>
        <x:v>16</x:v>
      </x:c>
      <x:c r="G21" s="414">
        <x:f>RSum!T9</x:f>
        <x:v>16</x:v>
      </x:c>
    </x:row>
    <x:row r="22" spans="1:9" x14ac:dyDescent="0.25">
      <x:c r="B22" s="86" t="str">
        <x:f>RSum!Y1</x:f>
        <x:v>Loading</x:v>
      </x:c>
      <x:c r="C22" s="414" t="str">
        <x:f>RSum!Y3</x:f>
        <x:v>0 GL/3 DH</x:v>
      </x:c>
      <x:c r="D22" s="414" t="str">
        <x:f>RSum!Y6</x:f>
        <x:v>2 GL/2 DH</x:v>
      </x:c>
      <x:c r="E22" s="414" t="str">
        <x:f>RSum!Y7</x:f>
        <x:v>1 GL/1 DH</x:v>
      </x:c>
      <x:c r="F22" s="414" t="str">
        <x:f>RSum!Y8</x:f>
        <x:v>0 GL/1 DH</x:v>
      </x:c>
      <x:c r="G22" s="414" t="str">
        <x:f>RSum!Y9</x:f>
        <x:v>0 GL/2 DH</x:v>
      </x:c>
    </x:row>
    <x:row r="23" spans="1:9" x14ac:dyDescent="0.25">
      <x:c r="B23" s="86" t="str">
        <x:f>RSum!Z1</x:f>
        <x:v>Loading SF</x:v>
      </x:c>
      <x:c r="C23" s="87">
        <x:f>RSum!Z3</x:f>
        <x:v>5422.666666666667</x:v>
      </x:c>
      <x:c r="D23" s="87">
        <x:f>RSum!Z6</x:f>
        <x:v>4522.5</x:v>
      </x:c>
      <x:c r="E23" s="87">
        <x:f>RSum!Z7</x:f>
        <x:v>8246</x:v>
      </x:c>
      <x:c r="F23" s="87">
        <x:f>RSum!Z8</x:f>
        <x:v>3628</x:v>
      </x:c>
      <x:c r="G23" s="87">
        <x:f>RSum!Z9</x:f>
        <x:v>6850</x:v>
      </x:c>
    </x:row>
    <x:row r="24" spans="1:9" x14ac:dyDescent="0.25">
      <x:c r="A24" s="47"/>
      <x:c r="B24" s="89" t="str">
        <x:f>RSum!X1</x:f>
        <x:v>Building Use</x:v>
      </x:c>
      <x:c r="C24" s="87" t="str">
        <x:f>RSum!X3</x:f>
        <x:v>Industrial</x:v>
      </x:c>
      <x:c r="D24" s="87" t="str">
        <x:f>'R1'!B26</x:f>
        <x:v>Industrial</x:v>
      </x:c>
      <x:c r="E24" s="87" t="str">
        <x:f>'R2'!B26</x:f>
        <x:v>Industrial</x:v>
      </x:c>
      <x:c r="F24" s="87" t="str">
        <x:f>'R3'!B26</x:f>
        <x:v>Industrial</x:v>
      </x:c>
      <x:c r="G24" s="87" t="str">
        <x:f>'R4'!B26</x:f>
        <x:v>Industrial</x:v>
      </x:c>
    </x:row>
    <x:row r="25" spans="1:9" x14ac:dyDescent="0.25">
      <x:c r="B25" s="89" t="str">
        <x:f>RSum!AA1</x:f>
        <x:v>Other</x:v>
      </x:c>
      <x:c r="C25" s="87" t="str">
        <x:f>RSum!AA3</x:f>
        <x:v>None</x:v>
      </x:c>
      <x:c r="D25" s="87" t="str">
        <x:f>'R1'!B27</x:f>
        <x:v>None</x:v>
      </x:c>
      <x:c r="E25" s="87" t="str">
        <x:f>'R2'!B27</x:f>
        <x:v>None</x:v>
      </x:c>
      <x:c r="F25" s="87" t="str">
        <x:f>'R3'!B27</x:f>
        <x:v>None</x:v>
      </x:c>
      <x:c r="G25" s="87" t="str">
        <x:f>'R4'!B27</x:f>
        <x:v>None</x:v>
      </x:c>
    </x:row>
    <x:row r="26" spans="1:9" s="484" customFormat="1" x14ac:dyDescent="0.25">
      <x:c r="B26" s="95"/>
      <x:c r="C26" s="96"/>
      <x:c r="D26" s="96"/>
      <x:c r="E26" s="96"/>
      <x:c r="F26" s="96"/>
      <x:c r="G26" s="96"/>
    </x:row>
    <x:row r="27" spans="1:9" s="484" customFormat="1" x14ac:dyDescent="0.25">
      <x:c r="C27" s="97"/>
      <x:c r="D27" s="98"/>
      <x:c r="E27" s="98"/>
      <x:c r="F27" s="98"/>
      <x:c r="G27" s="98"/>
    </x:row>
    <x:row r="28" spans="1:9" s="481" customFormat="1" x14ac:dyDescent="0.25">
      <x:c r="B28" s="99"/>
      <x:c r="C28" s="100" t="s">
        <x:v>26</x:v>
      </x:c>
      <x:c r="D28" s="100" t="str">
        <x:f>D1</x:f>
        <x:v>Rental 1</x:v>
      </x:c>
      <x:c r="E28" s="100" t="str">
        <x:f>E1</x:f>
        <x:v>Rental 2</x:v>
      </x:c>
      <x:c r="F28" s="100" t="str">
        <x:f>F1</x:f>
        <x:v>Rental 3</x:v>
      </x:c>
      <x:c r="G28" s="100" t="str">
        <x:f>G1</x:f>
        <x:v>Rental 4</x:v>
      </x:c>
    </x:row>
    <x:row r="29" spans="1:9" ht="24" x14ac:dyDescent="0.25">
      <x:c r="B29" s="499" t="s">
        <x:v>1</x:v>
      </x:c>
      <x:c r="C29" s="74" t="str">
        <x:f t="shared" ref="C29:G30" si="0">C3</x:f>
        <x:v>4735 Dwight Evans Rd</x:v>
      </x:c>
      <x:c r="D29" s="74" t="str">
        <x:f t="shared" si="0"/>
        <x:v>647 Michael Wylie Dr</x:v>
      </x:c>
      <x:c r="E29" s="74" t="str">
        <x:f t="shared" si="0"/>
        <x:v>3300 Oak Lake Blvd</x:v>
      </x:c>
      <x:c r="F29" s="74" t="str">
        <x:f t="shared" si="0"/>
        <x:v>2732 Interstate St, Ste F</x:v>
      </x:c>
      <x:c r="G29" s="74" t="str">
        <x:f t="shared" si="0"/>
        <x:v>201 Southside Dr</x:v>
      </x:c>
      <x:c r="I29" s="485"/>
    </x:row>
    <x:row r="30" spans="1:9" x14ac:dyDescent="0.25">
      <x:c r="B30" s="499"/>
      <x:c r="C30" s="74" t="str">
        <x:f t="shared" si="0"/>
        <x:v>Charlotte, NC</x:v>
      </x:c>
      <x:c r="D30" s="74" t="str">
        <x:f t="shared" si="0"/>
        <x:v>Charlotte, NC</x:v>
      </x:c>
      <x:c r="E30" s="74" t="str">
        <x:f t="shared" si="0"/>
        <x:v>Charlotte, NC</x:v>
      </x:c>
      <x:c r="F30" s="74" t="str">
        <x:f t="shared" si="0"/>
        <x:v>Charlotte, NC</x:v>
      </x:c>
      <x:c r="G30" s="74" t="str">
        <x:f t="shared" si="0"/>
        <x:v>Charlotte, NC</x:v>
      </x:c>
    </x:row>
    <x:row r="31" spans="1:9" x14ac:dyDescent="0.25">
      <x:c r="B31" s="235" t="str">
        <x:f t="shared" ref="B31:G31" si="1">B14</x:f>
        <x:v>Rentable Building Area (SF)</x:v>
      </x:c>
      <x:c r="C31" s="88">
        <x:f t="shared" si="1"/>
        <x:v>16268</x:v>
      </x:c>
      <x:c r="D31" s="88">
        <x:f t="shared" si="1"/>
        <x:v>18090</x:v>
      </x:c>
      <x:c r="E31" s="88">
        <x:f t="shared" si="1"/>
        <x:v>16492</x:v>
      </x:c>
      <x:c r="F31" s="88">
        <x:f t="shared" si="1"/>
        <x:v>3628</x:v>
      </x:c>
      <x:c r="G31" s="88">
        <x:f t="shared" si="1"/>
        <x:v>13700</x:v>
      </x:c>
    </x:row>
    <x:row r="32" spans="1:9" s="486" customFormat="1" x14ac:dyDescent="0.25">
      <x:c r="B32" s="103" t="str">
        <x:f>B11</x:f>
        <x:v>Lease Rate (S/SF/Yr)</x:v>
      </x:c>
      <x:c r="C32" s="81"/>
      <x:c r="D32" s="105">
        <x:f>D11</x:f>
        <x:v>11.24</x:v>
      </x:c>
      <x:c r="E32" s="105">
        <x:f>E11</x:f>
        <x:v>8.51</x:v>
      </x:c>
      <x:c r="F32" s="105">
        <x:f>F11</x:f>
        <x:v>9.76</x:v>
      </x:c>
      <x:c r="G32" s="105">
        <x:f>G11</x:f>
        <x:v>9.36</x:v>
      </x:c>
    </x:row>
    <x:row r="33" spans="2:7" x14ac:dyDescent="0.25">
      <x:c r="B33" s="99" t="s">
        <x:v>45</x:v>
      </x:c>
      <x:c r="C33" s="71"/>
      <x:c r="D33" s="71"/>
      <x:c r="E33" s="71"/>
      <x:c r="F33" s="71"/>
      <x:c r="G33" s="71"/>
    </x:row>
    <x:row r="34" spans="2:7" x14ac:dyDescent="0.25">
      <x:c r="B34" s="473" t="str">
        <x:f>RSum!J1</x:f>
        <x:v>Property Rights Conveyed</x:v>
      </x:c>
      <x:c r="C34" s="74"/>
      <x:c r="D34" s="74" t="str">
        <x:f>'R1'!B7</x:f>
        <x:v>Typical</x:v>
      </x:c>
      <x:c r="E34" s="74" t="str">
        <x:f>'R2'!B7</x:f>
        <x:v>Typical</x:v>
      </x:c>
      <x:c r="F34" s="74" t="str">
        <x:f>'R3'!B7</x:f>
        <x:v>Typical</x:v>
      </x:c>
      <x:c r="G34" s="74" t="str">
        <x:f>'R4'!B7</x:f>
        <x:v>Typical</x:v>
      </x:c>
    </x:row>
    <x:row r="35" spans="2:7" s="487" customFormat="1" x14ac:dyDescent="0.25">
      <x:c r="B35" s="106" t="s">
        <x:v>46</x:v>
      </x:c>
      <x:c r="C35" s="107"/>
      <x:c r="D35" s="234">
        <x:v>0</x:v>
      </x:c>
      <x:c r="E35" s="234">
        <x:v>0</x:v>
      </x:c>
      <x:c r="F35" s="234">
        <x:v>0</x:v>
      </x:c>
      <x:c r="G35" s="234">
        <x:v>0</x:v>
      </x:c>
    </x:row>
    <x:row r="36" spans="2:7" s="486" customFormat="1" x14ac:dyDescent="0.25">
      <x:c r="B36" s="103" t="s">
        <x:v>108</x:v>
      </x:c>
      <x:c r="C36" s="81"/>
      <x:c r="D36" s="105">
        <x:f t="shared" ref="D36:G36" si="2">IF(D35&lt;&gt;0,D32+D35,D32)</x:f>
        <x:v>11.24</x:v>
      </x:c>
      <x:c r="E36" s="105">
        <x:f t="shared" si="2"/>
        <x:v>8.51</x:v>
      </x:c>
      <x:c r="F36" s="105">
        <x:f t="shared" si="2"/>
        <x:v>9.76</x:v>
      </x:c>
      <x:c r="G36" s="105">
        <x:f t="shared" si="2"/>
        <x:v>9.36</x:v>
      </x:c>
    </x:row>
    <x:row r="37" spans="2:7" x14ac:dyDescent="0.25">
      <x:c r="B37" s="473" t="s">
        <x:v>107</x:v>
      </x:c>
      <x:c r="C37" s="74"/>
      <x:c r="D37" s="79" t="str">
        <x:f>D12</x:f>
        <x:v>NNN</x:v>
      </x:c>
      <x:c r="E37" s="79" t="str">
        <x:f>E12</x:f>
        <x:v>NNN</x:v>
      </x:c>
      <x:c r="F37" s="79" t="str">
        <x:f>F12</x:f>
        <x:v>NNN</x:v>
      </x:c>
      <x:c r="G37" s="79" t="str">
        <x:f>G12</x:f>
        <x:v>NNN</x:v>
      </x:c>
    </x:row>
    <x:row r="38" spans="2:7" s="487" customFormat="1" x14ac:dyDescent="0.25">
      <x:c r="B38" s="106" t="s">
        <x:v>46</x:v>
      </x:c>
      <x:c r="C38" s="107"/>
      <x:c r="D38" s="234">
        <x:v>0</x:v>
      </x:c>
      <x:c r="E38" s="234">
        <x:v>0</x:v>
      </x:c>
      <x:c r="F38" s="234">
        <x:v>0</x:v>
      </x:c>
      <x:c r="G38" s="234">
        <x:v>0</x:v>
      </x:c>
    </x:row>
    <x:row r="39" spans="2:7" s="486" customFormat="1" x14ac:dyDescent="0.25">
      <x:c r="B39" s="103" t="str">
        <x:f>B36</x:f>
        <x:v>Adjusted Rent/SF/Yr</x:v>
      </x:c>
      <x:c r="C39" s="81"/>
      <x:c r="D39" s="105">
        <x:f t="shared" ref="D39:G39" si="3">IF(D38&lt;&gt;0,D36+D38,D36)</x:f>
        <x:v>11.24</x:v>
      </x:c>
      <x:c r="E39" s="105">
        <x:f t="shared" si="3"/>
        <x:v>8.51</x:v>
      </x:c>
      <x:c r="F39" s="105">
        <x:f t="shared" si="3"/>
        <x:v>9.76</x:v>
      </x:c>
      <x:c r="G39" s="105">
        <x:f t="shared" si="3"/>
        <x:v>9.36</x:v>
      </x:c>
    </x:row>
    <x:row r="40" spans="2:7" x14ac:dyDescent="0.25">
      <x:c r="B40" s="473" t="s">
        <x:v>106</x:v>
      </x:c>
      <x:c r="C40" s="74"/>
      <x:c r="D40" s="79" t="s">
        <x:v>358</x:v>
      </x:c>
      <x:c r="E40" s="74" t="s">
        <x:v>28</x:v>
      </x:c>
      <x:c r="F40" s="74" t="s">
        <x:v>28</x:v>
      </x:c>
      <x:c r="G40" s="74" t="s">
        <x:v>28</x:v>
      </x:c>
    </x:row>
    <x:row r="41" spans="2:7" s="487" customFormat="1" x14ac:dyDescent="0.25">
      <x:c r="B41" s="106" t="s">
        <x:v>46</x:v>
      </x:c>
      <x:c r="C41" s="107"/>
      <x:c r="D41" s="234">
        <x:v>-1.04</x:v>
      </x:c>
      <x:c r="E41" s="234">
        <x:v>0</x:v>
      </x:c>
      <x:c r="F41" s="234">
        <x:v>0</x:v>
      </x:c>
      <x:c r="G41" s="234">
        <x:v>0</x:v>
      </x:c>
    </x:row>
    <x:row r="42" spans="2:7" s="486" customFormat="1" x14ac:dyDescent="0.25">
      <x:c r="B42" s="103" t="str">
        <x:f>B36</x:f>
        <x:v>Adjusted Rent/SF/Yr</x:v>
      </x:c>
      <x:c r="C42" s="81"/>
      <x:c r="D42" s="105">
        <x:f t="shared" ref="D42:G42" si="4">IF(D41&lt;&gt;0,D39+D41,D39)</x:f>
        <x:v>10.199999999999999</x:v>
      </x:c>
      <x:c r="E42" s="105">
        <x:f t="shared" si="4"/>
        <x:v>8.51</x:v>
      </x:c>
      <x:c r="F42" s="105">
        <x:f t="shared" si="4"/>
        <x:v>9.76</x:v>
      </x:c>
      <x:c r="G42" s="105">
        <x:f t="shared" si="4"/>
        <x:v>9.36</x:v>
      </x:c>
    </x:row>
    <x:row r="43" spans="2:7" x14ac:dyDescent="0.25">
      <x:c r="B43" s="473" t="s">
        <x:v>51</x:v>
      </x:c>
      <x:c r="C43" s="74"/>
      <x:c r="D43" s="109">
        <x:f>D9</x:f>
        <x:v>44409</x:v>
      </x:c>
      <x:c r="E43" s="109">
        <x:f>E9</x:f>
        <x:v>44256</x:v>
      </x:c>
      <x:c r="F43" s="109">
        <x:f>F9</x:f>
        <x:v>44348</x:v>
      </x:c>
      <x:c r="G43" s="109">
        <x:f>G9</x:f>
        <x:v>44013</x:v>
      </x:c>
    </x:row>
    <x:row r="44" spans="2:7" s="487" customFormat="1" x14ac:dyDescent="0.25">
      <x:c r="B44" s="106" t="s">
        <x:v>46</x:v>
      </x:c>
      <x:c r="C44" s="107"/>
      <x:c r="D44" s="234">
        <x:f>D42*3.33*0.01</x:f>
        <x:v>0.33966000000000002</x:v>
      </x:c>
      <x:c r="E44" s="234">
        <x:f>E42*5*0.01</x:f>
        <x:v>0.42549999999999999</x:v>
      </x:c>
      <x:c r="F44" s="234">
        <x:f>F42*4*0.01</x:f>
        <x:v>0.39040000000000002</x:v>
      </x:c>
      <x:c r="G44" s="234">
        <x:f>G42*7.67*0.01</x:f>
        <x:v>0.71791199999999988</x:v>
      </x:c>
    </x:row>
    <x:row r="45" spans="2:7" s="486" customFormat="1" x14ac:dyDescent="0.25">
      <x:c r="B45" s="103" t="str">
        <x:f>B36</x:f>
        <x:v>Adjusted Rent/SF/Yr</x:v>
      </x:c>
      <x:c r="C45" s="81"/>
      <x:c r="D45" s="105">
        <x:f t="shared" ref="D45:G45" si="5">IF(D44&lt;&gt;0,D42+D44,D42)</x:f>
        <x:v>10.53966</x:v>
      </x:c>
      <x:c r="E45" s="105">
        <x:f t="shared" si="5"/>
        <x:v>8.9354999999999993</x:v>
      </x:c>
      <x:c r="F45" s="105">
        <x:f t="shared" si="5"/>
        <x:v>10.150399999999999</x:v>
      </x:c>
      <x:c r="G45" s="105">
        <x:f t="shared" si="5"/>
        <x:v>10.077912</x:v>
      </x:c>
    </x:row>
    <x:row r="46" spans="2:7" x14ac:dyDescent="0.25">
      <x:c r="B46" s="99" t="s">
        <x:v>52</x:v>
      </x:c>
      <x:c r="C46" s="110"/>
      <x:c r="D46" s="110"/>
      <x:c r="E46" s="110"/>
      <x:c r="F46" s="110"/>
      <x:c r="G46" s="110"/>
    </x:row>
    <x:row r="47" spans="2:7" x14ac:dyDescent="0.25">
      <x:c r="B47" s="473" t="s">
        <x:v>53</x:v>
      </x:c>
      <x:c r="C47" s="74"/>
      <x:c r="D47" s="111">
        <x:v>0</x:v>
      </x:c>
      <x:c r="E47" s="111">
        <x:v>0.1</x:v>
      </x:c>
      <x:c r="F47" s="111">
        <x:v>0.1</x:v>
      </x:c>
      <x:c r="G47" s="111">
        <x:v>0</x:v>
      </x:c>
    </x:row>
    <x:row r="48" spans="2:7" x14ac:dyDescent="0.25">
      <x:c r="B48" s="473" t="str">
        <x:f>B14</x:f>
        <x:v>Rentable Building Area (SF)</x:v>
      </x:c>
      <x:c r="C48" s="88">
        <x:f>C14</x:f>
        <x:v>16268</x:v>
      </x:c>
      <x:c r="D48" s="111">
        <x:v>0.01</x:v>
      </x:c>
      <x:c r="E48" s="111">
        <x:v>0</x:v>
      </x:c>
      <x:c r="F48" s="111">
        <x:v>-0.1</x:v>
      </x:c>
      <x:c r="G48" s="111">
        <x:v>-0.02</x:v>
      </x:c>
    </x:row>
    <x:row r="49" spans="2:11" x14ac:dyDescent="0.25">
      <x:c r="B49" s="556" t="str">
        <x:f t="shared" ref="B49:C54" si="6">B16</x:f>
        <x:v>Quality</x:v>
      </x:c>
      <x:c r="C49" s="232" t="str">
        <x:f t="shared" si="6"/>
        <x:v>Average</x:v>
      </x:c>
      <x:c r="D49" s="111">
        <x:v>-0.1</x:v>
      </x:c>
      <x:c r="E49" s="111">
        <x:v>-0.1</x:v>
      </x:c>
      <x:c r="F49" s="111">
        <x:v>-0.1</x:v>
      </x:c>
      <x:c r="G49" s="111">
        <x:v>0</x:v>
      </x:c>
    </x:row>
    <x:row r="50" spans="2:11" x14ac:dyDescent="0.25">
      <x:c r="B50" s="473" t="str">
        <x:f t="shared" si="6"/>
        <x:v>Effective Age/Condition</x:v>
      </x:c>
      <x:c r="C50" s="233">
        <x:f t="shared" si="6"/>
        <x:v>10</x:v>
      </x:c>
      <x:c r="D50" s="111">
        <x:v>-0.1</x:v>
      </x:c>
      <x:c r="E50" s="111">
        <x:v>-0.05</x:v>
      </x:c>
      <x:c r="F50" s="111">
        <x:v>0</x:v>
      </x:c>
      <x:c r="G50" s="111">
        <x:v>0</x:v>
      </x:c>
    </x:row>
    <x:row r="51" spans="2:11" x14ac:dyDescent="0.25">
      <x:c r="B51" s="473" t="str">
        <x:f t="shared" si="6"/>
        <x:v>Access</x:v>
      </x:c>
      <x:c r="C51" s="232" t="str">
        <x:f t="shared" si="6"/>
        <x:v>Good</x:v>
      </x:c>
      <x:c r="D51" s="111">
        <x:v>0</x:v>
      </x:c>
      <x:c r="E51" s="111">
        <x:v>0</x:v>
      </x:c>
      <x:c r="F51" s="111">
        <x:v>0</x:v>
      </x:c>
      <x:c r="G51" s="111">
        <x:v>0</x:v>
      </x:c>
    </x:row>
    <x:row r="52" spans="2:11" x14ac:dyDescent="0.25">
      <x:c r="B52" s="473" t="str">
        <x:f t="shared" si="6"/>
        <x:v>Finished Ratio</x:v>
      </x:c>
      <x:c r="C52" s="107">
        <x:f t="shared" si="6"/>
        <x:v>7.4317678878780422E-2</x:v>
      </x:c>
      <x:c r="D52" s="111">
        <x:v>0</x:v>
      </x:c>
      <x:c r="E52" s="111">
        <x:v>0</x:v>
      </x:c>
      <x:c r="F52" s="111">
        <x:v>-0.03</x:v>
      </x:c>
      <x:c r="G52" s="111">
        <x:v>-0.02</x:v>
      </x:c>
    </x:row>
    <x:row r="53" spans="2:11" x14ac:dyDescent="0.25">
      <x:c r="B53" s="112" t="str">
        <x:f t="shared" si="6"/>
        <x:v>Parking Ratio</x:v>
      </x:c>
      <x:c r="C53" s="113">
        <x:f t="shared" si="6"/>
        <x:v>0.91727241259951542</x:v>
      </x:c>
      <x:c r="D53" s="111">
        <x:v>0</x:v>
      </x:c>
      <x:c r="E53" s="111">
        <x:v>0</x:v>
      </x:c>
      <x:c r="F53" s="111">
        <x:v>0</x:v>
      </x:c>
      <x:c r="G53" s="111">
        <x:v>0</x:v>
      </x:c>
    </x:row>
    <x:row r="54" spans="2:11" x14ac:dyDescent="0.25">
      <x:c r="B54" s="235" t="str">
        <x:f t="shared" si="6"/>
        <x:v>Eave Height</x:v>
      </x:c>
      <x:c r="C54" s="415">
        <x:f t="shared" si="6"/>
        <x:v>18</x:v>
      </x:c>
      <x:c r="D54" s="111">
        <x:v>0.02</x:v>
      </x:c>
      <x:c r="E54" s="111">
        <x:v>0.01</x:v>
      </x:c>
      <x:c r="F54" s="111">
        <x:v>0.01</x:v>
      </x:c>
      <x:c r="G54" s="111">
        <x:v>0.01</x:v>
      </x:c>
    </x:row>
    <x:row r="55" spans="2:11" x14ac:dyDescent="0.25">
      <x:c r="B55" s="235" t="str">
        <x:f>B22</x:f>
        <x:v>Loading</x:v>
      </x:c>
      <x:c r="C55" s="88" t="str">
        <x:f>C22</x:f>
        <x:v>0 GL/3 DH</x:v>
      </x:c>
      <x:c r="D55" s="111">
        <x:v>0</x:v>
      </x:c>
      <x:c r="E55" s="111">
        <x:v>0</x:v>
      </x:c>
      <x:c r="F55" s="111">
        <x:v>0</x:v>
      </x:c>
      <x:c r="G55" s="111">
        <x:v>0</x:v>
      </x:c>
    </x:row>
    <x:row r="56" spans="2:11" x14ac:dyDescent="0.25">
      <x:c r="B56" s="473" t="str">
        <x:f>B25</x:f>
        <x:v>Other</x:v>
      </x:c>
      <x:c r="C56" s="74" t="str">
        <x:f>C25</x:f>
        <x:v>None</x:v>
      </x:c>
      <x:c r="D56" s="111">
        <x:v>0</x:v>
      </x:c>
      <x:c r="E56" s="111">
        <x:v>0</x:v>
      </x:c>
      <x:c r="F56" s="111">
        <x:v>0</x:v>
      </x:c>
      <x:c r="G56" s="111">
        <x:v>0</x:v>
      </x:c>
    </x:row>
    <x:row r="57" spans="2:11" x14ac:dyDescent="0.25">
      <x:c r="B57" s="473" t="s">
        <x:v>54</x:v>
      </x:c>
      <x:c r="D57" s="410">
        <x:f>SUM(D47:D56)</x:f>
        <x:v>-0.17</x:v>
      </x:c>
      <x:c r="E57" s="410">
        <x:f>SUM(E47:E56)</x:f>
        <x:v>-0.04</x:v>
      </x:c>
      <x:c r="F57" s="410">
        <x:f>SUM(F47:F56)</x:f>
        <x:v>-0.12000000000000001</x:v>
      </x:c>
      <x:c r="G57" s="410">
        <x:f>SUM(G47:G56)</x:f>
        <x:v>-0.03</x:v>
      </x:c>
    </x:row>
    <x:row r="58" spans="2:11" s="489" customFormat="1" x14ac:dyDescent="0.25">
      <x:c r="B58" s="115" t="str">
        <x:f>B36</x:f>
        <x:v>Adjusted Rent/SF/Yr</x:v>
      </x:c>
      <x:c r="C58" s="116"/>
      <x:c r="D58" s="488">
        <x:f>D45*(1+D57)</x:f>
        <x:v>8.7479177999999997</x:v>
      </x:c>
      <x:c r="E58" s="488">
        <x:f>E45*(1+E57)</x:f>
        <x:v>8.5780799999999999</x:v>
      </x:c>
      <x:c r="F58" s="488">
        <x:f>F45*(1+F57)</x:f>
        <x:v>8.9323519999999998</x:v>
      </x:c>
      <x:c r="G58" s="488">
        <x:f>G45*(1+G57)</x:f>
        <x:v>9.7755746399999985</x:v>
      </x:c>
    </x:row>
    <x:row r="61" spans="2:11" ht="17.100000000000001" customHeight="1" x14ac:dyDescent="0.25">
      <x:c r="B61" s="231"/>
      <x:c r="C61" s="474" t="s">
        <x:v>55</x:v>
      </x:c>
      <x:c r="D61" s="474" t="s">
        <x:v>56</x:v>
      </x:c>
      <x:c r="E61" s="474" t="s">
        <x:v>57</x:v>
      </x:c>
      <x:c r="F61" s="474" t="s">
        <x:v>58</x:v>
      </x:c>
      <x:c r="G61" s="474" t="s">
        <x:v>59</x:v>
      </x:c>
      <x:c r="I61" s="475" t="s">
        <x:v>105</x:v>
      </x:c>
      <x:c r="J61" s="475" t="s">
        <x:v>104</x:v>
      </x:c>
      <x:c r="K61" s="475" t="s">
        <x:v>103</x:v>
      </x:c>
    </x:row>
    <x:row r="62" spans="2:11" ht="17.100000000000001" customHeight="1" x14ac:dyDescent="0.25">
      <x:c r="B62" s="121" t="s">
        <x:v>102</x:v>
      </x:c>
      <x:c r="C62" s="122">
        <x:f>MIN(D32:G32)</x:f>
        <x:v>8.51</x:v>
      </x:c>
      <x:c r="D62" s="122">
        <x:f>MAX(D32:G32)</x:f>
        <x:v>11.24</x:v>
      </x:c>
      <x:c r="E62" s="122">
        <x:f>AVERAGE(D32:G32)</x:f>
        <x:v>9.7174999999999994</x:v>
      </x:c>
      <x:c r="F62" s="122">
        <x:f>MEDIAN(D32:G32)</x:f>
        <x:v>9.5599999999999987</x:v>
      </x:c>
      <x:c r="G62" s="122">
        <x:f>_xlfn.STDEV.P(D32:G32)</x:f>
        <x:v>0.98813903373969691</x:v>
      </x:c>
      <x:c r="I62" s="229">
        <x:f>RSum!M3</x:f>
        <x:v>16268</x:v>
      </x:c>
      <x:c r="J62" s="228">
        <x:v>9</x:v>
      </x:c>
      <x:c r="K62" s="227">
        <x:f>I62*J62</x:f>
        <x:v>146412</x:v>
      </x:c>
    </x:row>
    <x:row r="63" spans="2:11" ht="17.100000000000001" customHeight="1" x14ac:dyDescent="0.25">
      <x:c r="B63" s="123" t="s">
        <x:v>101</x:v>
      </x:c>
      <x:c r="C63" s="122">
        <x:f>MIN(D58:G58)</x:f>
        <x:v>8.5780799999999999</x:v>
      </x:c>
      <x:c r="D63" s="122">
        <x:f>MAX(D58:G58)</x:f>
        <x:v>9.7755746399999985</x:v>
      </x:c>
      <x:c r="E63" s="122">
        <x:f>AVERAGE(D58:G58)</x:f>
        <x:v>9.0084811099999982</x:v>
      </x:c>
      <x:c r="F63" s="122">
        <x:f>MEDIAN(D58:G58)</x:f>
        <x:v>8.8401348999999989</x:v>
      </x:c>
      <x:c r="G63" s="122">
        <x:f>_xlfn.STDEV.P(D58:G58)</x:f>
        <x:v>0.46026255527813664</x:v>
      </x:c>
    </x:row>
    <x:row r="66" spans="2:11" x14ac:dyDescent="0.25">
      <x:c r="C66" s="482"/>
    </x:row>
    <x:row r="67" spans="2:11" ht="15" x14ac:dyDescent="0.25">
      <x:c r="B67" s="486"/>
      <x:c r="C67" s="482"/>
      <x:c r="I67" s="515" t="s">
        <x:v>100</x:v>
      </x:c>
      <x:c r="J67" s="515"/>
      <x:c r="K67" s="515"/>
    </x:row>
    <x:row r="68" spans="2:11" ht="15" x14ac:dyDescent="0.25">
      <x:c r="I68" s="224"/>
      <x:c r="J68" s="226" t="s">
        <x:v>99</x:v>
      </x:c>
      <x:c r="K68" s="226" t="s">
        <x:v>30</x:v>
      </x:c>
    </x:row>
    <x:row r="69" spans="2:11" ht="15" x14ac:dyDescent="0.25">
      <x:c r="I69" s="224" t="s">
        <x:v>98</x:v>
      </x:c>
      <x:c r="J69" s="225" t="s">
        <x:v>258</x:v>
      </x:c>
      <x:c r="K69" s="217">
        <x:v>0.09</x:v>
      </x:c>
    </x:row>
    <x:row r="70" spans="2:11" ht="15" x14ac:dyDescent="0.25">
      <x:c r="I70" s="224" t="s">
        <x:v>97</x:v>
      </x:c>
      <x:c r="J70" s="223" t="s">
        <x:v>65</x:v>
      </x:c>
      <x:c r="K70" s="217">
        <x:f>BOI!R6</x:f>
        <x:v>7.4274590197153517E-2</x:v>
      </x:c>
    </x:row>
    <x:row r="71" spans="2:11" ht="15" x14ac:dyDescent="0.25">
      <x:c r="I71" s="224" t="s">
        <x:v>96</x:v>
      </x:c>
      <x:c r="J71" s="223" t="s">
        <x:v>65</x:v>
      </x:c>
      <x:c r="K71" s="217">
        <x:f>BOI!Y4</x:f>
        <x:v>6.6411885295730291E-2</x:v>
      </x:c>
    </x:row>
    <x:row r="72" spans="2:11" ht="15" x14ac:dyDescent="0.25">
      <x:c r="I72" s="222" t="s">
        <x:v>259</x:v>
      </x:c>
      <x:c r="J72" s="221" t="s">
        <x:v>65</x:v>
      </x:c>
      <x:c r="K72" s="220">
        <x:v>6.4000000000000001E-2</x:v>
      </x:c>
    </x:row>
    <x:row r="73" spans="2:11" ht="15" x14ac:dyDescent="0.25">
      <x:c r="I73" s="506" t="s">
        <x:v>95</x:v>
      </x:c>
      <x:c r="J73" s="506"/>
      <x:c r="K73" s="219">
        <x:v>7.0000000000000007E-2</x:v>
      </x:c>
    </x:row>
    <x:row r="76" spans="2:11" ht="15" x14ac:dyDescent="0.25">
      <x:c r="I76" s="507" t="s">
        <x:v>94</x:v>
      </x:c>
      <x:c r="J76" s="508"/>
      <x:c r="K76" s="509"/>
    </x:row>
    <x:row r="77" spans="2:11" ht="15" x14ac:dyDescent="0.25">
      <x:c r="I77" s="510" t="s">
        <x:v>93</x:v>
      </x:c>
      <x:c r="J77" s="511"/>
      <x:c r="K77" s="512"/>
    </x:row>
    <x:row r="78" spans="2:11" ht="15" x14ac:dyDescent="0.25">
      <x:c r="I78" s="490" t="s">
        <x:v>92</x:v>
      </x:c>
      <x:c r="J78" s="491" t="s">
        <x:v>91</x:v>
      </x:c>
      <x:c r="K78" s="492" t="s">
        <x:v>70</x:v>
      </x:c>
    </x:row>
    <x:row r="79" spans="2:11" ht="15" x14ac:dyDescent="0.25">
      <x:c r="I79" s="218">
        <x:f>BOI!F14</x:f>
        <x:v>134933.29919999998</x:v>
      </x:c>
      <x:c r="J79" s="217">
        <x:v>7.0000000000000007E-2</x:v>
      </x:c>
      <x:c r="K79" s="216">
        <x:f>I79/J79</x:f>
        <x:v>1927618.5599999996</x:v>
      </x:c>
    </x:row>
    <x:row r="80" spans="2:11" ht="15" x14ac:dyDescent="0.25">
      <x:c r="I80" s="513" t="s">
        <x:v>71</x:v>
      </x:c>
      <x:c r="J80" s="514"/>
      <x:c r="K80" s="215">
        <x:v>1930000</x:v>
      </x:c>
    </x:row>
  </x:sheetData>
  <x:mergeCells count="7">
    <x:mergeCell ref="I73:J73"/>
    <x:mergeCell ref="I76:K76"/>
    <x:mergeCell ref="I77:K77"/>
    <x:mergeCell ref="I80:J80"/>
    <x:mergeCell ref="B3:B4"/>
    <x:mergeCell ref="B29:B30"/>
    <x:mergeCell ref="I67:K67"/>
  </x:mergeCells>
  <x:pageMargins left="0.7" right="0.7" top="0.75" bottom="0.75" header="0.3" footer="0.3"/>
  <x:pageSetup orientation="portrait" r:id="rId1"/>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6F323ED-7CF7-4867-B999-23319CE06079}" mc:Ignorable="x14ac xr xr2 xr3">
  <x:sheetPr>
    <x:tabColor rgb="FFC00000"/>
  </x:sheetPr>
  <x:dimension ref="B2:Y26"/>
  <x:sheetViews>
    <x:sheetView workbookViewId="0">
      <x:selection activeCell="W11" sqref="W11"/>
    </x:sheetView>
  </x:sheetViews>
  <x:sheetFormatPr defaultRowHeight="17.100000000000001" customHeight="1" x14ac:dyDescent="0.25"/>
  <x:cols>
    <x:col min="1" max="1" width="2.7109375" customWidth="1"/>
    <x:col min="2" max="2" width="27.140625" style="241" customWidth="1"/>
    <x:col min="3" max="3" width="31.42578125" style="225" customWidth="1"/>
    <x:col min="4" max="4" width="8" style="240" customWidth="1"/>
    <x:col min="5" max="5" width="9.7109375" customWidth="1"/>
    <x:col min="6" max="6" width="9.28515625" style="240" bestFit="1" customWidth="1"/>
    <x:col min="7" max="7" width="6.7109375" style="242" customWidth="1"/>
    <x:col min="8" max="8" width="29.7109375" style="241" customWidth="1"/>
    <x:col min="9" max="9" width="9.140625" style="240" customWidth="1"/>
    <x:col min="10" max="10" width="9.140625" style="239" customWidth="1"/>
    <x:col min="11" max="11" width="3.42578125" customWidth="1"/>
    <x:col min="12" max="12" width="31.85546875" customWidth="1"/>
    <x:col min="13" max="13" width="9.140625" customWidth="1"/>
    <x:col min="14" max="14" width="11.7109375" customWidth="1"/>
    <x:col min="15" max="15" width="10.42578125" customWidth="1"/>
    <x:col min="16" max="16" width="9.140625" customWidth="1"/>
    <x:col min="17" max="18" width="8.28515625" customWidth="1"/>
    <x:col min="19" max="20" width="9.140625" customWidth="1"/>
    <x:col min="21" max="21" width="4.28515625" customWidth="1"/>
    <x:col min="22" max="22" width="18.28515625" customWidth="1"/>
    <x:col min="23" max="23" width="19.85546875" customWidth="1"/>
    <x:col min="24" max="24" width="22.42578125" customWidth="1"/>
    <x:col min="25" max="25" width="29.28515625" customWidth="1"/>
    <x:col min="26" max="26" width="31.85546875" customWidth="1"/>
    <x:col min="27" max="27" width="9.140625" customWidth="1"/>
    <x:col min="28" max="28" width="11.7109375" customWidth="1"/>
    <x:col min="29" max="29" width="10.42578125" customWidth="1"/>
    <x:col min="30" max="30" width="9.140625" customWidth="1"/>
    <x:col min="31" max="32" width="8.28515625" customWidth="1"/>
    <x:col min="33" max="16382" width="9.140625" customWidth="1"/>
  </x:cols>
  <x:sheetData>
    <x:row r="2" spans="2:25" ht="17.100000000000001" customHeight="1" x14ac:dyDescent="0.25">
      <x:c r="B2" s="517" t="s">
        <x:v>144</x:v>
      </x:c>
      <x:c r="C2" s="518"/>
      <x:c r="D2" s="518"/>
      <x:c r="E2" s="518"/>
      <x:c r="F2" s="519"/>
      <x:c r="H2" s="517" t="s">
        <x:v>143</x:v>
      </x:c>
      <x:c r="I2" s="518"/>
      <x:c r="J2" s="519"/>
    </x:row>
    <x:row r="3" spans="2:25" ht="17.100000000000001" customHeight="1" x14ac:dyDescent="0.25">
      <x:c r="B3" s="273" t="s">
        <x:v>142</x:v>
      </x:c>
      <x:c r="E3" s="240"/>
      <x:c r="F3" s="269"/>
      <x:c r="H3" s="281" t="s">
        <x:v>141</x:v>
      </x:c>
      <x:c r="I3" s="297">
        <x:v>4.2500000000000003E-2</x:v>
      </x:c>
      <x:c r="J3" s="279"/>
      <x:c r="L3" s="515" t="s">
        <x:v>124</x:v>
      </x:c>
      <x:c r="M3" s="515"/>
      <x:c r="N3" s="515"/>
      <x:c r="O3" s="515"/>
      <x:c r="P3" s="515"/>
      <x:c r="Q3" s="515"/>
      <x:c r="R3" s="515"/>
      <x:c r="V3" s="296" t="s">
        <x:v>140</x:v>
      </x:c>
      <x:c r="W3" s="295" t="s">
        <x:v>133</x:v>
      </x:c>
      <x:c r="X3" s="295" t="s">
        <x:v>139</x:v>
      </x:c>
      <x:c r="Y3" s="295" t="s">
        <x:v>132</x:v>
      </x:c>
    </x:row>
    <x:row r="4" spans="2:25" ht="17.100000000000001" customHeight="1" x14ac:dyDescent="0.25">
      <x:c r="B4" s="263" t="s">
        <x:v>138</x:v>
      </x:c>
      <x:c r="E4" s="240"/>
      <x:c r="F4" s="274">
        <x:f>RG!K62</x:f>
        <x:v>146412</x:v>
      </x:c>
      <x:c r="H4" s="281" t="s">
        <x:v>137</x:v>
      </x:c>
      <x:c r="I4" s="294">
        <x:v>30</x:v>
      </x:c>
      <x:c r="J4" s="293" t="s">
        <x:v>127</x:v>
      </x:c>
      <x:c r="L4" s="268" t="s">
        <x:v>122</x:v>
      </x:c>
      <x:c r="M4" s="264">
        <x:f>I5</x:f>
        <x:v>0.75</x:v>
      </x:c>
      <x:c r="N4" s="264" t="s">
        <x:v>117</x:v>
      </x:c>
      <x:c r="O4" s="266">
        <x:f>I6</x:f>
        <x:v>5.9032786929538034E-2</x:v>
      </x:c>
      <x:c r="P4" s="287" t="s">
        <x:v>116</x:v>
      </x:c>
      <x:c r="Q4" s="264"/>
      <x:c r="R4" s="292">
        <x:f>M4*O4</x:f>
        <x:v>4.4274590197153525E-2</x:v>
      </x:c>
      <x:c r="V4" s="291">
        <x:f>I5</x:f>
        <x:v>0.75</x:v>
      </x:c>
      <x:c r="W4" s="289">
        <x:f>I6</x:f>
        <x:v>5.9032786929538034E-2</x:v>
      </x:c>
      <x:c r="X4" s="290">
        <x:v>1.5</x:v>
      </x:c>
      <x:c r="Y4" s="289">
        <x:f>V4*W4*X4</x:f>
        <x:v>6.6411885295730291E-2</x:v>
      </x:c>
    </x:row>
    <x:row r="5" spans="2:25" ht="17.100000000000001" customHeight="1" x14ac:dyDescent="0.25">
      <x:c r="B5" s="263" t="s">
        <x:v>136</x:v>
      </x:c>
      <x:c r="E5" s="240"/>
      <x:c r="F5" s="274">
        <x:v>0</x:v>
      </x:c>
      <x:c r="H5" s="281" t="s">
        <x:v>135</x:v>
      </x:c>
      <x:c r="I5" s="288">
        <x:v>0.75</x:v>
      </x:c>
      <x:c r="J5" s="279"/>
      <x:c r="L5" s="268" t="s">
        <x:v>120</x:v>
      </x:c>
      <x:c r="M5" s="264">
        <x:f>1-M4</x:f>
        <x:v>0.25</x:v>
      </x:c>
      <x:c r="N5" s="264" t="s">
        <x:v>117</x:v>
      </x:c>
      <x:c r="O5" s="266">
        <x:f>I7</x:f>
        <x:v>0.12</x:v>
      </x:c>
      <x:c r="P5" s="287" t="s">
        <x:v>116</x:v>
      </x:c>
      <x:c r="Q5" s="264"/>
      <x:c r="R5" s="286">
        <x:f>M5*O5</x:f>
        <x:v>0.03</x:v>
      </x:c>
    </x:row>
    <x:row r="6" spans="2:25" ht="17.100000000000001" customHeight="1" x14ac:dyDescent="0.25">
      <x:c r="B6" s="263" t="s">
        <x:v>134</x:v>
      </x:c>
      <x:c r="E6" s="240"/>
      <x:c r="F6" s="285">
        <x:v>0</x:v>
      </x:c>
      <x:c r="H6" s="281" t="s">
        <x:v>133</x:v>
      </x:c>
      <x:c r="I6" s="284">
        <x:f>PMT((I3/12),(I4*12),-1,0,0)*12</x:f>
        <x:v>5.9032786929538034E-2</x:v>
      </x:c>
      <x:c r="J6" s="279"/>
      <x:c r="L6" s="506" t="s">
        <x:v>132</x:v>
      </x:c>
      <x:c r="M6" s="506"/>
      <x:c r="N6" s="506"/>
      <x:c r="O6" s="506"/>
      <x:c r="P6" s="506"/>
      <x:c r="Q6" s="283"/>
      <x:c r="R6" s="282">
        <x:f>SUM(R4:R5)</x:f>
        <x:v>7.4274590197153517E-2</x:v>
      </x:c>
    </x:row>
    <x:row r="7" spans="2:25" ht="17.100000000000001" customHeight="1" x14ac:dyDescent="0.25">
      <x:c r="B7" s="273" t="s">
        <x:v>131</x:v>
      </x:c>
      <x:c r="E7" s="240"/>
      <x:c r="F7" s="274">
        <x:f>SUM(F4:F6)</x:f>
        <x:v>146412</x:v>
      </x:c>
      <x:c r="H7" s="281" t="s">
        <x:v>130</x:v>
      </x:c>
      <x:c r="I7" s="280">
        <x:v>0.12</x:v>
      </x:c>
      <x:c r="J7" s="279"/>
    </x:row>
    <x:row r="8" spans="2:25" ht="17.100000000000001" customHeight="1" x14ac:dyDescent="0.25">
      <x:c r="B8" s="263" t="s">
        <x:v>129</x:v>
      </x:c>
      <x:c r="C8" s="271">
        <x:v>0.04</x:v>
      </x:c>
      <x:c r="E8" s="240"/>
      <x:c r="F8" s="278">
        <x:f>F7*(-1*C8)</x:f>
        <x:v>-5856.4800000000005</x:v>
      </x:c>
      <x:c r="H8" s="277" t="s">
        <x:v>128</x:v>
      </x:c>
      <x:c r="I8" s="276">
        <x:v>10</x:v>
      </x:c>
      <x:c r="J8" s="275" t="s">
        <x:v>127</x:v>
      </x:c>
    </x:row>
    <x:row r="9" spans="2:25" ht="17.100000000000001" customHeight="1" x14ac:dyDescent="0.25">
      <x:c r="B9" s="263" t="s">
        <x:v>126</x:v>
      </x:c>
      <x:c r="E9" s="240"/>
      <x:c r="F9" s="274">
        <x:f>SUM(F7:F8)</x:f>
        <x:v>140555.51999999999</x:v>
      </x:c>
    </x:row>
    <x:row r="10" spans="2:25" ht="17.100000000000001" customHeight="1" x14ac:dyDescent="0.25">
      <x:c r="B10" s="273" t="s">
        <x:v>125</x:v>
      </x:c>
      <x:c r="E10" s="240"/>
      <x:c r="F10" s="269"/>
    </x:row>
    <x:row r="11" spans="2:25" ht="17.100000000000001" customHeight="1" x14ac:dyDescent="0.25">
      <x:c r="B11" s="263" t="s">
        <x:v>123</x:v>
      </x:c>
      <x:c r="C11" s="271">
        <x:v>0.02</x:v>
      </x:c>
      <x:c r="D11" s="272">
        <x:f>F9*C11</x:f>
        <x:v>2811.1104</x:v>
      </x:c>
      <x:c r="E11" s="240"/>
      <x:c r="F11" s="269"/>
    </x:row>
    <x:row r="12" spans="2:25" ht="17.100000000000001" customHeight="1" x14ac:dyDescent="0.25">
      <x:c r="B12" s="263" t="s">
        <x:v>121</x:v>
      </x:c>
      <x:c r="C12" s="271">
        <x:v>0.02</x:v>
      </x:c>
      <x:c r="D12" s="270">
        <x:f>F9*C12</x:f>
        <x:v>2811.1104</x:v>
      </x:c>
      <x:c r="E12" s="240"/>
      <x:c r="F12" s="269"/>
      <x:c r="L12" s="520" t="s">
        <x:v>124</x:v>
      </x:c>
      <x:c r="M12" s="520"/>
      <x:c r="N12" s="520"/>
      <x:c r="O12" s="520"/>
      <x:c r="P12" s="520"/>
      <x:c r="Q12" s="520"/>
      <x:c r="R12" s="520"/>
      <x:c r="S12" s="520"/>
      <x:c r="T12" s="520"/>
    </x:row>
    <x:row r="13" spans="2:25" ht="17.100000000000001" customHeight="1" x14ac:dyDescent="0.25">
      <x:c r="B13" s="263" t="s">
        <x:v>119</x:v>
      </x:c>
      <x:c r="E13" s="240"/>
      <x:c r="F13" s="262">
        <x:f>SUM(D11:D12)*-1</x:f>
        <x:v>-5622.2208000000001</x:v>
      </x:c>
      <x:c r="L13" s="268" t="s">
        <x:v>122</x:v>
      </x:c>
      <x:c r="M13" s="267">
        <x:f>I5</x:f>
        <x:v>0.75</x:v>
      </x:c>
      <x:c r="N13" s="264" t="s">
        <x:v>117</x:v>
      </x:c>
      <x:c r="O13" s="266">
        <x:f>I6</x:f>
        <x:v>5.9032786929538034E-2</x:v>
      </x:c>
      <x:c r="P13" s="264"/>
      <x:c r="Q13" s="264"/>
      <x:c r="R13" s="265" t="s">
        <x:v>116</x:v>
      </x:c>
      <x:c r="S13" s="264"/>
      <x:c r="T13" s="266">
        <x:f>M13*O13</x:f>
        <x:v>4.4274590197153525E-2</x:v>
      </x:c>
    </x:row>
    <x:row r="14" spans="2:25" ht="17.100000000000001" customHeight="1" x14ac:dyDescent="0.25">
      <x:c r="B14" s="257" t="s">
        <x:v>92</x:v>
      </x:c>
      <x:c r="C14" s="256"/>
      <x:c r="D14" s="255"/>
      <x:c r="E14" s="255"/>
      <x:c r="F14" s="254">
        <x:f>SUM(F9:F13)</x:f>
        <x:v>134933.29919999998</x:v>
      </x:c>
      <x:c r="L14" s="268" t="s">
        <x:v>120</x:v>
      </x:c>
      <x:c r="M14" s="267">
        <x:f>1-M13</x:f>
        <x:v>0.25</x:v>
      </x:c>
      <x:c r="N14" s="264" t="s">
        <x:v>117</x:v>
      </x:c>
      <x:c r="O14" s="266">
        <x:f>I7</x:f>
        <x:v>0.12</x:v>
      </x:c>
      <x:c r="P14" s="264"/>
      <x:c r="Q14" s="264"/>
      <x:c r="R14" s="265" t="s">
        <x:v>116</x:v>
      </x:c>
      <x:c r="S14" s="265"/>
      <x:c r="T14" s="264">
        <x:f>M14*O14</x:f>
        <x:v>0.03</x:v>
      </x:c>
    </x:row>
    <x:row r="15" spans="2:25" ht="17.100000000000001" customHeight="1" x14ac:dyDescent="0.25">
      <x:c r="L15" s="239" t="s">
        <x:v>118</x:v>
      </x:c>
      <x:c r="M15" s="261">
        <x:f>I5</x:f>
        <x:v>0.75</x:v>
      </x:c>
      <x:c r="N15" s="225" t="s">
        <x:v>117</x:v>
      </x:c>
      <x:c r="O15" s="260">
        <x:f>CUMPRINC((I3/12),(I4*12),1,1,(I8*12),0)</x:f>
        <x:v>-0.20556765560031898</x:v>
      </x:c>
      <x:c r="P15" s="225" t="s">
        <x:v>117</x:v>
      </x:c>
      <x:c r="Q15" s="260">
        <x:f>PMT(I7,I8,0,1,0)*-1</x:f>
        <x:v>5.69841641598441E-2</x:v>
      </x:c>
      <x:c r="R15" s="259" t="s">
        <x:v>116</x:v>
      </x:c>
      <x:c r="S15" s="239"/>
      <x:c r="T15" s="258">
        <x:f>M15*O15*Q15</x:f>
        <x:v>-8.7855757745121544E-3</x:v>
      </x:c>
    </x:row>
    <x:row r="16" spans="2:25" ht="17.100000000000001" customHeight="1" x14ac:dyDescent="0.25">
      <x:c r="B16" s="385"/>
      <x:c r="C16" s="387" t="s">
        <x:v>218</x:v>
      </x:c>
      <x:c r="L16" s="521" t="s">
        <x:v>132</x:v>
      </x:c>
      <x:c r="M16" s="521"/>
      <x:c r="N16" s="521"/>
      <x:c r="O16" s="521"/>
      <x:c r="P16" s="521"/>
      <x:c r="Q16" s="253"/>
      <x:c r="R16" s="253"/>
      <x:c r="S16" s="253"/>
      <x:c r="T16" s="252">
        <x:f>SUM(T13:T15)</x:f>
        <x:v>6.5489014422641365E-2</x:v>
      </x:c>
    </x:row>
    <x:row r="17" spans="2:16" ht="17.100000000000001" customHeight="1" x14ac:dyDescent="0.25">
      <x:c r="B17" s="385" t="s">
        <x:v>123</x:v>
      </x:c>
      <x:c r="C17" s="386">
        <x:f>D11/Sheet26!D34</x:f>
        <x:v>0.17280000000000001</x:v>
      </x:c>
    </x:row>
    <x:row r="18" spans="2:16" ht="17.100000000000001" customHeight="1" x14ac:dyDescent="0.25">
      <x:c r="B18" s="385" t="s">
        <x:v>121</x:v>
      </x:c>
      <x:c r="C18" s="386">
        <x:f>D12/Sheet26!D34</x:f>
        <x:v>0.17280000000000001</x:v>
      </x:c>
      <x:c r="O18" s="251">
        <x:f>CUMPRINC((I3/12),(I4*12),1,1,(I8*12),0)</x:f>
        <x:v>-0.20556765560031898</x:v>
      </x:c>
      <x:c r="P18" s="250" t="s">
        <x:v>115</x:v>
      </x:c>
    </x:row>
    <x:row r="19" spans="2:16" ht="17.100000000000001" customHeight="1" x14ac:dyDescent="0.25">
      <x:c r="B19" s="385"/>
      <x:c r="C19" s="324"/>
      <x:c r="O19" s="251">
        <x:f>PMT(I7,I8,0,1,0)</x:f>
        <x:v>-5.69841641598441E-2</x:v>
      </x:c>
      <x:c r="P19" s="250" t="s">
        <x:v>114</x:v>
      </x:c>
    </x:row>
    <x:row r="21" spans="2:16" ht="17.100000000000001" customHeight="1" x14ac:dyDescent="0.25">
      <x:c r="L21" s="516" t="s">
        <x:v>113</x:v>
      </x:c>
      <x:c r="M21" s="516"/>
      <x:c r="N21" s="516"/>
      <x:c r="O21" s="516"/>
    </x:row>
    <x:row r="22" spans="2:16" ht="17.100000000000001" customHeight="1" x14ac:dyDescent="0.25">
      <x:c r="L22" t="s">
        <x:v>112</x:v>
      </x:c>
      <x:c r="O22" s="249">
        <x:v>0.02</x:v>
      </x:c>
    </x:row>
    <x:row r="23" spans="2:16" ht="17.100000000000001" customHeight="1" x14ac:dyDescent="0.25">
      <x:c r="L23" s="248" t="s">
        <x:v>111</x:v>
      </x:c>
      <x:c r="O23" s="247">
        <x:f>O19</x:f>
        <x:v>-5.69841641598441E-2</x:v>
      </x:c>
    </x:row>
    <x:row r="24" spans="2:16" ht="17.100000000000001" customHeight="1" x14ac:dyDescent="0.25">
      <x:c r="L24" t="s">
        <x:v>110</x:v>
      </x:c>
      <x:c r="O24" s="246">
        <x:f>O22*O23</x:f>
        <x:v>-1.139683283196882E-3</x:v>
      </x:c>
    </x:row>
    <x:row r="25" spans="2:16" ht="17.100000000000001" customHeight="1" x14ac:dyDescent="0.25">
      <x:c r="O25" s="245"/>
    </x:row>
    <x:row r="26" spans="2:16" ht="17.100000000000001" customHeight="1" x14ac:dyDescent="0.25">
      <x:c r="L26" s="244" t="s">
        <x:v>109</x:v>
      </x:c>
      <x:c r="M26" s="244"/>
      <x:c r="N26" s="244"/>
      <x:c r="O26" s="243">
        <x:f>T16+O24</x:f>
        <x:v>6.4349331139444479E-2</x:v>
      </x:c>
    </x:row>
  </x:sheetData>
  <x:mergeCells count="7">
    <x:mergeCell ref="L21:O21"/>
    <x:mergeCell ref="B2:F2"/>
    <x:mergeCell ref="H2:J2"/>
    <x:mergeCell ref="L3:R3"/>
    <x:mergeCell ref="L6:P6"/>
    <x:mergeCell ref="L12:T12"/>
    <x:mergeCell ref="L16:P16"/>
  </x:mergeCells>
  <x:pageMargins left="0.7" right="0.7" top="0.75" bottom="0.75" header="0.3" footer="0.3"/>
  <x:pageSetup orientation="portrait" r:id="rId1"/>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D1B697D-3112-43D7-A95D-113660A9D35B}" mc:Ignorable="x14ac xr xr2 xr3">
  <x:sheetPr>
    <x:tabColor rgb="FFFF0000"/>
  </x:sheetPr>
  <x:dimension ref="A1:J21"/>
  <x:sheetViews>
    <x:sheetView workbookViewId="0">
      <x:selection activeCell="N12" sqref="N12"/>
    </x:sheetView>
  </x:sheetViews>
  <x:sheetFormatPr defaultRowHeight="15" x14ac:dyDescent="0.25"/>
  <x:cols>
    <x:col min="1" max="2" width="9.140625" style="225"/>
    <x:col min="3" max="3" width="31.140625" style="241" customWidth="1"/>
    <x:col min="4" max="4" width="9.140625" style="225" customWidth="1"/>
    <x:col min="5" max="5" width="15.42578125" style="225" customWidth="1"/>
    <x:col min="6" max="6" width="13.7109375" style="240" customWidth="1"/>
    <x:col min="7" max="7" width="11.42578125" style="240" customWidth="1"/>
    <x:col min="8" max="9" width="14" style="240" customWidth="1"/>
    <x:col min="10" max="10" width="11.42578125" style="240" customWidth="1"/>
    <x:col min="11" max="16384" width="9.140625" style="225"/>
  </x:cols>
  <x:sheetData>
    <x:row r="1" spans="1:10" x14ac:dyDescent="0.25">
      <x:c r="A1" s="305">
        <x:f>AVERAGE(J6:J21)</x:f>
        <x:v>6.9187499999999999E-2</x:v>
      </x:c>
      <x:c r="B1" s="302" t="s">
        <x:v>30</x:v>
      </x:c>
    </x:row>
    <x:row r="2" spans="1:10" x14ac:dyDescent="0.25">
      <x:c r="A2" s="305">
        <x:f>MEDIAN(J6:J21)</x:f>
        <x:v>7.1250000000000008E-2</x:v>
      </x:c>
      <x:c r="B2" s="302" t="s">
        <x:v>58</x:v>
      </x:c>
    </x:row>
    <x:row r="3" spans="1:10" x14ac:dyDescent="0.25">
      <x:c r="A3" s="305">
        <x:f>MIN(J6:J21)</x:f>
        <x:v>0.05</x:v>
      </x:c>
      <x:c r="B3" s="302" t="s">
        <x:v>55</x:v>
      </x:c>
    </x:row>
    <x:row r="4" spans="1:10" s="302" customFormat="1" x14ac:dyDescent="0.25">
      <x:c r="A4" s="305">
        <x:f>MAX(J6:J21)</x:f>
        <x:v>8.5999999999999993E-2</x:v>
      </x:c>
      <x:c r="B4" s="302" t="s">
        <x:v>56</x:v>
      </x:c>
      <x:c r="C4" s="453"/>
      <x:c r="F4" s="454"/>
      <x:c r="G4" s="454"/>
      <x:c r="H4" s="454"/>
      <x:c r="I4" s="454"/>
      <x:c r="J4" s="454"/>
    </x:row>
    <x:row r="5" spans="1:10" s="302" customFormat="1" ht="30" x14ac:dyDescent="0.25">
      <x:c r="C5" s="304" t="s">
        <x:v>158</x:v>
      </x:c>
      <x:c r="D5" s="230" t="s">
        <x:v>13</x:v>
      </x:c>
      <x:c r="E5" s="230" t="s">
        <x:v>157</x:v>
      </x:c>
      <x:c r="F5" s="303" t="s">
        <x:v>5</x:v>
      </x:c>
      <x:c r="G5" s="303" t="s">
        <x:v>156</x:v>
      </x:c>
      <x:c r="H5" s="303" t="s">
        <x:v>6</x:v>
      </x:c>
      <x:c r="I5" s="230" t="s">
        <x:v>155</x:v>
      </x:c>
      <x:c r="J5" s="303" t="s">
        <x:v>154</x:v>
      </x:c>
    </x:row>
    <x:row r="6" spans="1:10" x14ac:dyDescent="0.25">
      <x:c r="C6" s="301" t="s">
        <x:v>249</x:v>
      </x:c>
      <x:c r="D6" s="531">
        <x:v>1965</x:v>
      </x:c>
      <x:c r="E6" s="533">
        <x:v>44671</x:v>
      </x:c>
      <x:c r="F6" s="535">
        <x:v>4200000</x:v>
      </x:c>
      <x:c r="G6" s="537">
        <x:v>53382</x:v>
      </x:c>
      <x:c r="H6" s="539">
        <x:f>F6/G6</x:f>
        <x:v>78.678206136900073</x:v>
      </x:c>
      <x:c r="I6" s="535">
        <x:f>F6*J6</x:f>
        <x:v>252000</x:v>
      </x:c>
      <x:c r="J6" s="541">
        <x:v>0.06</x:v>
      </x:c>
    </x:row>
    <x:row r="7" spans="1:10" x14ac:dyDescent="0.25">
      <x:c r="C7" s="300" t="s">
        <x:v>250</x:v>
      </x:c>
      <x:c r="D7" s="532"/>
      <x:c r="E7" s="534"/>
      <x:c r="F7" s="536"/>
      <x:c r="G7" s="538"/>
      <x:c r="H7" s="540"/>
      <x:c r="I7" s="536"/>
      <x:c r="J7" s="542"/>
    </x:row>
    <x:row r="8" spans="1:10" x14ac:dyDescent="0.25">
      <x:c r="C8" s="299" t="s">
        <x:v>247</x:v>
      </x:c>
      <x:c r="D8" s="522">
        <x:v>1987</x:v>
      </x:c>
      <x:c r="E8" s="524">
        <x:v>44559</x:v>
      </x:c>
      <x:c r="F8" s="525">
        <x:v>200000</x:v>
      </x:c>
      <x:c r="G8" s="527">
        <x:v>40000</x:v>
      </x:c>
      <x:c r="H8" s="529">
        <x:f>F8/G8</x:f>
        <x:v>5</x:v>
      </x:c>
      <x:c r="I8" s="543">
        <x:f>F8*J8</x:f>
        <x:v>16000</x:v>
      </x:c>
      <x:c r="J8" s="545">
        <x:v>0.08</x:v>
      </x:c>
    </x:row>
    <x:row r="9" spans="1:10" x14ac:dyDescent="0.25">
      <x:c r="C9" s="298" t="s">
        <x:v>248</x:v>
      </x:c>
      <x:c r="D9" s="523"/>
      <x:c r="E9" s="523"/>
      <x:c r="F9" s="526"/>
      <x:c r="G9" s="528"/>
      <x:c r="H9" s="530"/>
      <x:c r="I9" s="544"/>
      <x:c r="J9" s="546"/>
    </x:row>
    <x:row r="10" spans="1:10" x14ac:dyDescent="0.25">
      <x:c r="C10" s="301" t="s">
        <x:v>254</x:v>
      </x:c>
      <x:c r="D10" s="531">
        <x:v>1975</x:v>
      </x:c>
      <x:c r="E10" s="533">
        <x:v>44531</x:v>
      </x:c>
      <x:c r="F10" s="535">
        <x:v>1525000</x:v>
      </x:c>
      <x:c r="G10" s="537">
        <x:v>42660</x:v>
      </x:c>
      <x:c r="H10" s="539">
        <x:f>F10/G10</x:f>
        <x:v>35.747773089545241</x:v>
      </x:c>
      <x:c r="I10" s="535">
        <x:f>F10*J10</x:f>
        <x:v>106750.00000000001</x:v>
      </x:c>
      <x:c r="J10" s="541">
        <x:v>7.0000000000000007E-2</x:v>
      </x:c>
    </x:row>
    <x:row r="11" spans="1:10" x14ac:dyDescent="0.25">
      <x:c r="C11" s="300" t="s">
        <x:v>255</x:v>
      </x:c>
      <x:c r="D11" s="532"/>
      <x:c r="E11" s="534"/>
      <x:c r="F11" s="536"/>
      <x:c r="G11" s="538"/>
      <x:c r="H11" s="540"/>
      <x:c r="I11" s="536"/>
      <x:c r="J11" s="542"/>
    </x:row>
    <x:row r="12" spans="1:10" x14ac:dyDescent="0.25">
      <x:c r="C12" s="301" t="s">
        <x:v>252</x:v>
      </x:c>
      <x:c r="D12" s="531">
        <x:v>1981</x:v>
      </x:c>
      <x:c r="E12" s="533">
        <x:v>44396</x:v>
      </x:c>
      <x:c r="F12" s="535">
        <x:v>2800000</x:v>
      </x:c>
      <x:c r="G12" s="537">
        <x:v>29678</x:v>
      </x:c>
      <x:c r="H12" s="539">
        <x:f>F12/G12</x:f>
        <x:v>94.345980187344168</x:v>
      </x:c>
      <x:c r="I12" s="535">
        <x:f>F12*J12</x:f>
        <x:v>140000</x:v>
      </x:c>
      <x:c r="J12" s="541">
        <x:v>0.05</x:v>
      </x:c>
    </x:row>
    <x:row r="13" spans="1:10" x14ac:dyDescent="0.25">
      <x:c r="C13" s="300" t="s">
        <x:v>251</x:v>
      </x:c>
      <x:c r="D13" s="532"/>
      <x:c r="E13" s="534"/>
      <x:c r="F13" s="536"/>
      <x:c r="G13" s="538"/>
      <x:c r="H13" s="540"/>
      <x:c r="I13" s="536"/>
      <x:c r="J13" s="542"/>
    </x:row>
    <x:row r="14" spans="1:10" x14ac:dyDescent="0.25">
      <x:c r="C14" s="299" t="s">
        <x:v>257</x:v>
      </x:c>
      <x:c r="D14" s="522">
        <x:v>2001</x:v>
      </x:c>
      <x:c r="E14" s="524">
        <x:v>44308</x:v>
      </x:c>
      <x:c r="F14" s="525">
        <x:v>2350000</x:v>
      </x:c>
      <x:c r="G14" s="527">
        <x:v>20000</x:v>
      </x:c>
      <x:c r="H14" s="529">
        <x:f>F14/G14</x:f>
        <x:v>117.5</x:v>
      </x:c>
      <x:c r="I14" s="543">
        <x:f>F14*J14</x:f>
        <x:v>170375</x:v>
      </x:c>
      <x:c r="J14" s="545">
        <x:v>7.2499999999999995E-2</x:v>
      </x:c>
    </x:row>
    <x:row r="15" spans="1:10" x14ac:dyDescent="0.25">
      <x:c r="C15" s="298" t="s">
        <x:v>245</x:v>
      </x:c>
      <x:c r="D15" s="523"/>
      <x:c r="E15" s="523"/>
      <x:c r="F15" s="526"/>
      <x:c r="G15" s="528"/>
      <x:c r="H15" s="530"/>
      <x:c r="I15" s="544"/>
      <x:c r="J15" s="546"/>
    </x:row>
    <x:row r="16" spans="1:10" x14ac:dyDescent="0.25">
      <x:c r="C16" s="299" t="s">
        <x:v>246</x:v>
      </x:c>
      <x:c r="D16" s="522">
        <x:v>1990</x:v>
      </x:c>
      <x:c r="E16" s="524">
        <x:v>44119</x:v>
      </x:c>
      <x:c r="F16" s="525">
        <x:v>1300000</x:v>
      </x:c>
      <x:c r="G16" s="527">
        <x:v>25440</x:v>
      </x:c>
      <x:c r="H16" s="529">
        <x:f>F16/G16</x:f>
        <x:v>51.100628930817614</x:v>
      </x:c>
      <x:c r="I16" s="543">
        <x:f>F16*J16</x:f>
        <x:v>111799.99999999999</x:v>
      </x:c>
      <x:c r="J16" s="545">
        <x:v>8.5999999999999993E-2</x:v>
      </x:c>
    </x:row>
    <x:row r="17" spans="3:10" x14ac:dyDescent="0.25">
      <x:c r="C17" s="298" t="s">
        <x:v>241</x:v>
      </x:c>
      <x:c r="D17" s="523"/>
      <x:c r="E17" s="523"/>
      <x:c r="F17" s="526"/>
      <x:c r="G17" s="528"/>
      <x:c r="H17" s="530"/>
      <x:c r="I17" s="544"/>
      <x:c r="J17" s="546"/>
    </x:row>
    <x:row r="18" spans="3:10" x14ac:dyDescent="0.25">
      <x:c r="C18" s="301" t="s">
        <x:v>256</x:v>
      </x:c>
      <x:c r="D18" s="531">
        <x:v>1979</x:v>
      </x:c>
      <x:c r="E18" s="533">
        <x:v>44117</x:v>
      </x:c>
      <x:c r="F18" s="535">
        <x:v>3840000</x:v>
      </x:c>
      <x:c r="G18" s="537">
        <x:v>42960</x:v>
      </x:c>
      <x:c r="H18" s="539">
        <x:f>F18/G18</x:f>
        <x:v>89.385474860335194</x:v>
      </x:c>
      <x:c r="I18" s="535">
        <x:f>F18*J18</x:f>
        <x:v>288000</x:v>
      </x:c>
      <x:c r="J18" s="541">
        <x:v>7.4999999999999997E-2</x:v>
      </x:c>
    </x:row>
    <x:row r="19" spans="3:10" x14ac:dyDescent="0.25">
      <x:c r="C19" s="300" t="s">
        <x:v>251</x:v>
      </x:c>
      <x:c r="D19" s="532"/>
      <x:c r="E19" s="534"/>
      <x:c r="F19" s="536"/>
      <x:c r="G19" s="538"/>
      <x:c r="H19" s="540"/>
      <x:c r="I19" s="536"/>
      <x:c r="J19" s="542"/>
    </x:row>
    <x:row r="20" spans="3:10" x14ac:dyDescent="0.25">
      <x:c r="C20" s="301" t="s">
        <x:v>253</x:v>
      </x:c>
      <x:c r="D20" s="531">
        <x:v>1981</x:v>
      </x:c>
      <x:c r="E20" s="533">
        <x:v>44105</x:v>
      </x:c>
      <x:c r="F20" s="535">
        <x:v>5817000</x:v>
      </x:c>
      <x:c r="G20" s="537">
        <x:v>64144</x:v>
      </x:c>
      <x:c r="H20" s="539">
        <x:f>F20/G20</x:f>
        <x:v>90.686580194562239</x:v>
      </x:c>
      <x:c r="I20" s="535">
        <x:f>F20*J20</x:f>
        <x:v>349020</x:v>
      </x:c>
      <x:c r="J20" s="541">
        <x:v>0.06</x:v>
      </x:c>
    </x:row>
    <x:row r="21" spans="3:10" x14ac:dyDescent="0.25">
      <x:c r="C21" s="300" t="s">
        <x:v>251</x:v>
      </x:c>
      <x:c r="D21" s="532"/>
      <x:c r="E21" s="534"/>
      <x:c r="F21" s="536"/>
      <x:c r="G21" s="538"/>
      <x:c r="H21" s="540"/>
      <x:c r="I21" s="536"/>
      <x:c r="J21" s="542"/>
    </x:row>
  </x:sheetData>
  <x:mergeCells count="56">
    <x:mergeCell ref="D6:D7"/>
    <x:mergeCell ref="E6:E7"/>
    <x:mergeCell ref="D12:D13"/>
    <x:mergeCell ref="E12:E13"/>
    <x:mergeCell ref="F12:F13"/>
    <x:mergeCell ref="D10:D11"/>
    <x:mergeCell ref="E10:E11"/>
    <x:mergeCell ref="D8:D9"/>
    <x:mergeCell ref="E8:E9"/>
    <x:mergeCell ref="G12:G13"/>
    <x:mergeCell ref="H12:H13"/>
    <x:mergeCell ref="F6:F7"/>
    <x:mergeCell ref="G6:G7"/>
    <x:mergeCell ref="H6:H7"/>
    <x:mergeCell ref="F10:F11"/>
    <x:mergeCell ref="G10:G11"/>
    <x:mergeCell ref="H10:H11"/>
    <x:mergeCell ref="F8:F9"/>
    <x:mergeCell ref="G8:G9"/>
    <x:mergeCell ref="H8:H9"/>
    <x:mergeCell ref="I6:I7"/>
    <x:mergeCell ref="J20:J21"/>
    <x:mergeCell ref="J6:J7"/>
    <x:mergeCell ref="I12:I13"/>
    <x:mergeCell ref="J12:J13"/>
    <x:mergeCell ref="I20:I21"/>
    <x:mergeCell ref="I10:I11"/>
    <x:mergeCell ref="J18:J19"/>
    <x:mergeCell ref="J10:J11"/>
    <x:mergeCell ref="I14:I15"/>
    <x:mergeCell ref="J14:J15"/>
    <x:mergeCell ref="I18:I19"/>
    <x:mergeCell ref="J8:J9"/>
    <x:mergeCell ref="I16:I17"/>
    <x:mergeCell ref="J16:J17"/>
    <x:mergeCell ref="I8:I9"/>
    <x:mergeCell ref="D20:D21"/>
    <x:mergeCell ref="E20:E21"/>
    <x:mergeCell ref="F20:F21"/>
    <x:mergeCell ref="G20:G21"/>
    <x:mergeCell ref="H20:H21"/>
    <x:mergeCell ref="D18:D19"/>
    <x:mergeCell ref="E18:E19"/>
    <x:mergeCell ref="F18:F19"/>
    <x:mergeCell ref="G18:G19"/>
    <x:mergeCell ref="H18:H19"/>
    <x:mergeCell ref="D14:D15"/>
    <x:mergeCell ref="E14:E15"/>
    <x:mergeCell ref="F14:F15"/>
    <x:mergeCell ref="G14:G15"/>
    <x:mergeCell ref="H14:H15"/>
    <x:mergeCell ref="D16:D17"/>
    <x:mergeCell ref="E16:E17"/>
    <x:mergeCell ref="F16:F17"/>
    <x:mergeCell ref="G16:G17"/>
    <x:mergeCell ref="H16:H17"/>
  </x:mergeCells>
  <x:pageMargins left="0.7" right="0.7" top="0.75" bottom="0.75" header="0.3" footer="0.3"/>
  <x:pageSetup orientation="portrait" r:id="rId1"/>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15BAD2E-710F-40B8-934D-63970C86A43C}" mc:Ignorable="x14ac xr xr2 xr3">
  <x:sheetPr>
    <x:tabColor rgb="FFFF0000"/>
  </x:sheetPr>
  <x:dimension ref="B4:I19"/>
  <x:sheetViews>
    <x:sheetView workbookViewId="0">
      <x:selection activeCell="I13" sqref="I13"/>
    </x:sheetView>
  </x:sheetViews>
  <x:sheetFormatPr defaultRowHeight="15" x14ac:dyDescent="0.25"/>
  <x:cols>
    <x:col min="2" max="2" width="35.42578125" customWidth="1"/>
    <x:col min="3" max="3" width="15.7109375" style="240" customWidth="1"/>
    <x:col min="4" max="4" width="12.7109375" style="225" customWidth="1"/>
    <x:col min="5" max="5" width="12.7109375" style="306" customWidth="1"/>
    <x:col min="6" max="6" width="12.7109375" style="240" customWidth="1"/>
  </x:cols>
  <x:sheetData>
    <x:row r="4" spans="2:9" x14ac:dyDescent="0.25">
      <x:c r="B4" s="547" t="s">
        <x:v>164</x:v>
      </x:c>
      <x:c r="C4" s="547"/>
      <x:c r="D4" s="547"/>
      <x:c r="E4" s="547"/>
      <x:c r="F4" s="547"/>
    </x:row>
    <x:row r="5" spans="2:9" x14ac:dyDescent="0.25">
      <x:c r="B5" s="548"/>
      <x:c r="C5" s="548"/>
      <x:c r="D5" s="548"/>
      <x:c r="E5" s="548"/>
      <x:c r="F5" s="548"/>
    </x:row>
    <x:row r="6" spans="2:9" ht="15" customHeight="1" x14ac:dyDescent="0.25">
      <x:c r="B6" s="137" t="s">
        <x:v>163</x:v>
      </x:c>
      <x:c r="C6" s="326" t="s">
        <x:v>362</x:v>
      </x:c>
      <x:c r="D6" s="128"/>
      <x:c r="E6" s="313"/>
      <x:c r="F6" s="314"/>
    </x:row>
    <x:row r="7" spans="2:9" x14ac:dyDescent="0.25">
      <x:c r="B7" s="137" t="s">
        <x:v>162</x:v>
      </x:c>
      <x:c r="C7" s="312" t="s">
        <x:v>361</x:v>
      </x:c>
      <x:c r="D7" s="128"/>
      <x:c r="E7" s="313"/>
      <x:c r="F7" s="314"/>
    </x:row>
    <x:row r="8" spans="2:9" x14ac:dyDescent="0.25">
      <x:c r="B8" s="137" t="s">
        <x:v>105</x:v>
      </x:c>
      <x:c r="C8" s="325">
        <x:f>Sheet26!D34</x:f>
        <x:v>16268</x:v>
      </x:c>
      <x:c r="D8" s="128"/>
      <x:c r="E8" s="313"/>
      <x:c r="F8" s="314"/>
    </x:row>
    <x:row r="9" spans="2:9" ht="15" customHeight="1" x14ac:dyDescent="0.25">
      <x:c r="B9" s="549"/>
      <x:c r="C9" s="549"/>
      <x:c r="D9" s="549"/>
      <x:c r="E9" s="549"/>
      <x:c r="F9" s="549"/>
    </x:row>
    <x:row r="10" spans="2:9" x14ac:dyDescent="0.25">
      <x:c r="B10" s="549"/>
      <x:c r="C10" s="549"/>
      <x:c r="D10" s="549"/>
      <x:c r="E10" s="549"/>
      <x:c r="F10" s="549"/>
    </x:row>
    <x:row r="11" spans="2:9" x14ac:dyDescent="0.25">
      <x:c r="B11" s="137"/>
      <x:c r="C11" s="312"/>
      <x:c r="D11" s="324" t="s">
        <x:v>148</x:v>
      </x:c>
      <x:c r="E11" s="323" t="s">
        <x:v>147</x:v>
      </x:c>
      <x:c r="F11" s="323" t="s">
        <x:v>146</x:v>
      </x:c>
    </x:row>
    <x:row r="12" spans="2:9" x14ac:dyDescent="0.25">
      <x:c r="B12" s="137" t="s">
        <x:v>151</x:v>
      </x:c>
      <x:c r="C12" s="314"/>
      <x:c r="D12" s="321">
        <x:f>C8</x:f>
        <x:v>16268</x:v>
      </x:c>
      <x:c r="E12" s="322">
        <x:v>42.7</x:v>
      </x:c>
      <x:c r="F12" s="316">
        <x:f>D12*E12</x:f>
        <x:v>694643.60000000009</x:v>
      </x:c>
    </x:row>
    <x:row r="13" spans="2:9" x14ac:dyDescent="0.25">
      <x:c r="B13" s="137" t="s">
        <x:v>150</x:v>
      </x:c>
      <x:c r="C13" s="314"/>
      <x:c r="D13" s="321">
        <x:f>C8</x:f>
        <x:v>16268</x:v>
      </x:c>
      <x:c r="E13" s="322">
        <x:v>18.829999999999998</x:v>
      </x:c>
      <x:c r="F13" s="316">
        <x:f>D13*E13</x:f>
        <x:v>306326.43999999994</x:v>
      </x:c>
    </x:row>
    <x:row r="14" spans="2:9" x14ac:dyDescent="0.25">
      <x:c r="B14" s="137" t="s">
        <x:v>149</x:v>
      </x:c>
      <x:c r="C14" s="314"/>
      <x:c r="D14" s="321">
        <x:f>Sheet26!D38</x:f>
        <x:v>1209</x:v>
      </x:c>
      <x:c r="E14" s="322">
        <x:v>7.04</x:v>
      </x:c>
      <x:c r="F14" s="316">
        <x:f>D14*E14</x:f>
        <x:v>8511.36</x:v>
      </x:c>
    </x:row>
    <x:row r="15" spans="2:9" x14ac:dyDescent="0.25">
      <x:c r="B15" s="137" t="s">
        <x:v>161</x:v>
      </x:c>
      <x:c r="C15" s="314"/>
      <x:c r="D15" s="321">
        <x:f>C8</x:f>
        <x:v>16268</x:v>
      </x:c>
      <x:c r="E15" s="320">
        <x:f>F15/C8</x:f>
        <x:v>62.053196459306612</x:v>
      </x:c>
      <x:c r="F15" s="316">
        <x:f>SUM(F12:F14)</x:f>
        <x:v>1009481.4</x:v>
      </x:c>
      <x:c r="I15" s="319"/>
    </x:row>
    <x:row r="16" spans="2:9" x14ac:dyDescent="0.25">
      <x:c r="B16" s="137" t="s">
        <x:v>160</x:v>
      </x:c>
      <x:c r="C16" s="318">
        <x:v>0.1</x:v>
      </x:c>
      <x:c r="D16" s="128"/>
      <x:c r="E16" s="313"/>
      <x:c r="F16" s="317">
        <x:f>-F15*C16</x:f>
        <x:v>-100948.14000000001</x:v>
      </x:c>
    </x:row>
    <x:row r="17" spans="2:6" x14ac:dyDescent="0.25">
      <x:c r="B17" s="137" t="s">
        <x:v>159</x:v>
      </x:c>
      <x:c r="C17" s="314"/>
      <x:c r="D17" s="128"/>
      <x:c r="E17" s="313"/>
      <x:c r="F17" s="316">
        <x:f>SUM(F15:F16)</x:f>
        <x:v>908533.26</x:v>
      </x:c>
    </x:row>
    <x:row r="18" spans="2:6" x14ac:dyDescent="0.25">
      <x:c r="B18" s="315"/>
      <x:c r="C18" s="314"/>
      <x:c r="D18" s="128"/>
      <x:c r="E18" s="313"/>
      <x:c r="F18" s="312"/>
    </x:row>
    <x:row r="19" spans="2:6" x14ac:dyDescent="0.25">
      <x:c r="B19" s="311" t="s">
        <x:v>71</x:v>
      </x:c>
      <x:c r="C19" s="310"/>
      <x:c r="D19" s="309"/>
      <x:c r="E19" s="308"/>
      <x:c r="F19" s="307">
        <x:v>910000</x:v>
      </x:c>
    </x:row>
  </x:sheetData>
  <x:mergeCells count="4">
    <x:mergeCell ref="B4:F4"/>
    <x:mergeCell ref="B5:F5"/>
    <x:mergeCell ref="B9:F9"/>
    <x:mergeCell ref="B10:F10"/>
  </x:mergeCells>
  <x:pageMargins left="0.7" right="0.7" top="0.75" bottom="0.75" header="0.3" footer="0.3"/>
  <x:pageSetup orientation="portrait" r:id="rId1"/>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961929E-EC5B-4457-9B2E-0C872B15829A}" mc:Ignorable="x14ac xr xr2 xr3">
  <x:sheetPr>
    <x:tabColor theme="7"/>
  </x:sheetPr>
  <x:dimension ref="C1:F12"/>
  <x:sheetViews>
    <x:sheetView workbookViewId="0">
      <x:selection activeCell="C12" sqref="C12"/>
    </x:sheetView>
  </x:sheetViews>
  <x:sheetFormatPr defaultRowHeight="15" x14ac:dyDescent="0.25"/>
  <x:cols>
    <x:col min="3" max="3" width="69.85546875" customWidth="1"/>
    <x:col min="4" max="4" width="19" customWidth="1"/>
  </x:cols>
  <x:sheetData>
    <x:row r="1" spans="3:6" x14ac:dyDescent="0.25">
      <x:c r="F1" s="240"/>
    </x:row>
    <x:row r="2" spans="3:6" x14ac:dyDescent="0.25">
      <x:c r="C2" s="333" t="s">
        <x:v>168</x:v>
      </x:c>
      <x:c r="D2" s="337" t="str">
        <x:f>Sheet26!D8</x:f>
        <x:v>145-301-22</x:v>
      </x:c>
    </x:row>
    <x:row r="3" spans="3:6" s="336" customFormat="1" x14ac:dyDescent="0.25">
      <x:c r="C3" s="332" t="s">
        <x:v>167</x:v>
      </x:c>
      <x:c r="D3" s="331">
        <x:v>2021</x:v>
      </x:c>
    </x:row>
    <x:row r="4" spans="3:6" x14ac:dyDescent="0.25">
      <x:c r="C4" s="327" t="s">
        <x:v>173</x:v>
      </x:c>
      <x:c r="D4" s="279"/>
    </x:row>
    <x:row r="5" spans="3:6" x14ac:dyDescent="0.25">
      <x:c r="C5" s="327" t="s">
        <x:v>172</x:v>
      </x:c>
      <x:c r="D5" s="329">
        <x:v>0</x:v>
      </x:c>
    </x:row>
    <x:row r="6" spans="3:6" x14ac:dyDescent="0.25">
      <x:c r="C6" s="327" t="s">
        <x:v>171</x:v>
      </x:c>
      <x:c r="D6" s="329">
        <x:v>1055600</x:v>
      </x:c>
    </x:row>
    <x:row r="7" spans="3:6" x14ac:dyDescent="0.25">
      <x:c r="C7" s="327" t="s">
        <x:v>244</x:v>
      </x:c>
      <x:c r="D7" s="335">
        <x:v>0</x:v>
      </x:c>
    </x:row>
    <x:row r="8" spans="3:6" x14ac:dyDescent="0.25">
      <x:c r="C8" s="327" t="s">
        <x:v>170</x:v>
      </x:c>
      <x:c r="D8" s="329">
        <x:f>D5+D6+D7</x:f>
        <x:v>1055600</x:v>
      </x:c>
    </x:row>
    <x:row r="9" spans="3:6" x14ac:dyDescent="0.25">
      <x:c r="C9" s="334">
        <x:f>D9*100</x:f>
        <x:v>100</x:v>
      </x:c>
      <x:c r="D9" s="330">
        <x:v>1</x:v>
      </x:c>
    </x:row>
    <x:row r="10" spans="3:6" x14ac:dyDescent="0.25">
      <x:c r="C10" s="327" t="s">
        <x:v>166</x:v>
      </x:c>
      <x:c r="D10" s="329">
        <x:f>D8*D9</x:f>
        <x:v>1055600</x:v>
      </x:c>
    </x:row>
    <x:row r="11" spans="3:6" x14ac:dyDescent="0.25">
      <x:c r="C11" s="327" t="s">
        <x:v>169</x:v>
      </x:c>
      <x:c r="D11" s="328">
        <x:v>9.6500000000000006E-3</x:v>
      </x:c>
    </x:row>
    <x:row r="12" spans="3:6" s="447" customFormat="1" x14ac:dyDescent="0.25">
      <x:c r="C12" s="448" t="s">
        <x:v>165</x:v>
      </x:c>
      <x:c r="D12" s="449">
        <x:f>D10*D11</x:f>
        <x:v>10186.540000000001</x:v>
      </x:c>
    </x:row>
  </x:sheetData>
  <x:pageMargins left="0.7" right="0.7" top="0.75" bottom="0.75" header="0.3" footer="0.3"/>
  <x:pageSetup orientation="portrait" r:id="rId1"/>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894DABB-8245-4959-9414-E8CAF4C1AB9E}" mc:Ignorable="x14ac xr xr2 xr3">
  <x:sheetPr>
    <x:tabColor rgb="FFFF0000"/>
  </x:sheetPr>
  <x:dimension ref="B2:I11"/>
  <x:sheetViews>
    <x:sheetView topLeftCell="E1" workbookViewId="0">
      <x:selection activeCell="G15" sqref="G15"/>
    </x:sheetView>
  </x:sheetViews>
  <x:sheetFormatPr defaultRowHeight="15" x14ac:dyDescent="0.25"/>
  <x:cols>
    <x:col min="2" max="2" width="32.42578125" customWidth="1"/>
    <x:col min="3" max="3" width="26.140625" customWidth="1"/>
    <x:col min="4" max="4" width="30.7109375" customWidth="1"/>
    <x:col min="6" max="6" width="41.140625" customWidth="1"/>
    <x:col min="7" max="7" width="48" customWidth="1"/>
    <x:col min="9" max="9" width="89.140625" customWidth="1"/>
  </x:cols>
  <x:sheetData>
    <x:row r="2" spans="2:9" x14ac:dyDescent="0.25">
      <x:c r="I2" s="388" t="s">
        <x:v>220</x:v>
      </x:c>
    </x:row>
    <x:row r="3" spans="2:9" x14ac:dyDescent="0.25">
      <x:c r="B3" s="506" t="s">
        <x:v>67</x:v>
      </x:c>
      <x:c r="C3" s="506"/>
      <x:c r="D3" s="506"/>
      <x:c r="F3" s="550" t="s">
        <x:v>177</x:v>
      </x:c>
      <x:c r="G3" s="551"/>
      <x:c r="I3" s="75"/>
    </x:row>
    <x:row r="4" spans="2:9" ht="15.75" x14ac:dyDescent="0.25">
      <x:c r="B4" s="224"/>
      <x:c r="C4" s="221" t="s">
        <x:v>176</x:v>
      </x:c>
      <x:c r="D4" s="353" t="s">
        <x:v>70</x:v>
      </x:c>
      <x:c r="F4" s="336" t="s">
        <x:v>68</x:v>
      </x:c>
      <x:c r="G4" s="352">
        <x:f>SG!L70</x:f>
        <x:v>1950000</x:v>
      </x:c>
      <x:c r="I4" s="345" t="s">
        <x:v>359</x:v>
      </x:c>
    </x:row>
    <x:row r="5" spans="2:9" ht="15.75" x14ac:dyDescent="0.25">
      <x:c r="B5" s="224"/>
      <x:c r="C5" s="223"/>
      <x:c r="D5" s="341"/>
      <x:c r="F5" s="351"/>
      <x:c r="G5" s="350"/>
      <x:c r="I5" s="342">
        <x:v>1950000</x:v>
      </x:c>
    </x:row>
    <x:row r="6" spans="2:9" x14ac:dyDescent="0.25">
      <x:c r="B6" s="224" t="s">
        <x:v>68</x:v>
      </x:c>
      <x:c r="C6" s="349">
        <x:f>Sheet26!D58</x:f>
        <x:v>44747</x:v>
      </x:c>
      <x:c r="D6" s="348">
        <x:f>G4</x:f>
        <x:v>1950000</x:v>
      </x:c>
      <x:c r="F6" s="347" t="s">
        <x:v>93</x:v>
      </x:c>
      <x:c r="G6" s="346">
        <x:f>RG!K80</x:f>
        <x:v>1930000</x:v>
      </x:c>
      <x:c r="I6" s="75"/>
    </x:row>
    <x:row r="7" spans="2:9" x14ac:dyDescent="0.25">
      <x:c r="B7" s="224"/>
      <x:c r="C7" s="223"/>
      <x:c r="D7" s="348"/>
      <x:c r="I7" s="75"/>
    </x:row>
    <x:row r="8" spans="2:9" x14ac:dyDescent="0.25">
      <x:c r="B8" s="224" t="s">
        <x:v>93</x:v>
      </x:c>
      <x:c r="C8" s="344">
        <x:f>C6</x:f>
        <x:v>44747</x:v>
      </x:c>
      <x:c r="D8" s="343">
        <x:f t="shared" ref="D8" si="0">G6</x:f>
        <x:v>1930000</x:v>
      </x:c>
      <x:c r="I8" s="388" t="s">
        <x:v>219</x:v>
      </x:c>
    </x:row>
    <x:row r="9" spans="2:9" x14ac:dyDescent="0.25">
      <x:c r="B9" s="224"/>
      <x:c r="C9" s="223"/>
      <x:c r="D9" s="341"/>
      <x:c r="I9" s="124"/>
    </x:row>
    <x:row r="10" spans="2:9" ht="15.75" x14ac:dyDescent="0.25">
      <x:c r="B10" s="340" t="s">
        <x:v>174</x:v>
      </x:c>
      <x:c r="C10" s="339">
        <x:f>C6</x:f>
        <x:v>44747</x:v>
      </x:c>
      <x:c r="D10" s="338">
        <x:f>I5</x:f>
        <x:v>1950000</x:v>
      </x:c>
      <x:c r="I10" s="345" t="s">
        <x:v>175</x:v>
      </x:c>
    </x:row>
    <x:row r="11" spans="2:9" ht="15.75" x14ac:dyDescent="0.25">
      <x:c r="I11" s="342">
        <x:v>1</x:v>
      </x:c>
    </x:row>
  </x:sheetData>
  <x:mergeCells count="2">
    <x:mergeCell ref="B3:D3"/>
    <x:mergeCell ref="F3:G3"/>
  </x:mergeCells>
  <x:pageMargins left="0.7" right="0.7" top="0.75" bottom="0.75" header="0.3" footer="0.3"/>
  <x:pageSetup orientation="portrait" horizontalDpi="4294967293" verticalDpi="0" r:id="rId1"/>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3B3E249-77A4-4468-B888-F53C458D199C}" mc:Ignorable="x14ac xr xr2 xr3">
  <x:sheetPr>
    <x:tabColor rgb="FF7030A0"/>
  </x:sheetPr>
  <x:dimension ref="B3:H27"/>
  <x:sheetViews>
    <x:sheetView workbookViewId="0">
      <x:selection activeCell="C5" sqref="C5"/>
    </x:sheetView>
  </x:sheetViews>
  <x:sheetFormatPr defaultRowHeight="15" x14ac:dyDescent="0.25"/>
  <x:cols>
    <x:col min="1" max="1" width="9.140625" style="239"/>
    <x:col min="2" max="2" width="78.7109375" style="239" customWidth="1"/>
    <x:col min="3" max="3" width="10.7109375" style="239" customWidth="1"/>
    <x:col min="4" max="4" width="9.140625" style="239"/>
    <x:col min="5" max="5" width="10.28515625" style="354" bestFit="1" customWidth="1"/>
    <x:col min="6" max="6" width="9.7109375" style="354" bestFit="1" customWidth="1"/>
    <x:col min="7" max="8" width="9.140625" style="354"/>
    <x:col min="9" max="16384" width="9.140625" style="239"/>
  </x:cols>
  <x:sheetData>
    <x:row r="3" spans="2:6" x14ac:dyDescent="0.25">
      <x:c r="B3" s="553" t="s">
        <x:v>187</x:v>
      </x:c>
      <x:c r="C3" s="553"/>
    </x:row>
    <x:row r="4" spans="2:6" x14ac:dyDescent="0.25">
      <x:c r="B4" s="374"/>
      <x:c r="C4" s="341"/>
    </x:row>
    <x:row r="5" spans="2:6" x14ac:dyDescent="0.25">
      <x:c r="B5" s="374" t="s">
        <x:v>186</x:v>
      </x:c>
      <x:c r="C5" s="348">
        <x:v>206476</x:v>
      </x:c>
    </x:row>
    <x:row r="6" spans="2:6" x14ac:dyDescent="0.25">
      <x:c r="B6" s="375">
        <x:f>E6</x:f>
        <x:v>15</x:v>
      </x:c>
      <x:c r="C6" s="343">
        <x:f>C5*(B6/100)</x:f>
        <x:v>30971.399999999998</x:v>
      </x:c>
      <x:c r="E6" s="360">
        <x:v>15</x:v>
      </x:c>
    </x:row>
    <x:row r="7" spans="2:6" x14ac:dyDescent="0.25">
      <x:c r="B7" s="374" t="s">
        <x:v>185</x:v>
      </x:c>
      <x:c r="C7" s="348">
        <x:f>SUM(C5:C6)</x:f>
        <x:v>237447.4</x:v>
      </x:c>
    </x:row>
    <x:row r="8" spans="2:6" x14ac:dyDescent="0.25">
      <x:c r="B8" s="374"/>
      <x:c r="C8" s="341"/>
    </x:row>
    <x:row r="9" spans="2:6" x14ac:dyDescent="0.25">
      <x:c r="B9" s="373">
        <x:f>E9</x:f>
        <x:v>10</x:v>
      </x:c>
      <x:c r="C9" s="343">
        <x:f>C7*(B9/100)</x:f>
        <x:v>23744.74</x:v>
      </x:c>
      <x:c r="E9" s="360">
        <x:v>10</x:v>
      </x:c>
    </x:row>
    <x:row r="10" spans="2:6" x14ac:dyDescent="0.25">
      <x:c r="B10" s="372" t="s">
        <x:v>178</x:v>
      </x:c>
      <x:c r="C10" s="371">
        <x:f>C7+C9</x:f>
        <x:v>261192.13999999998</x:v>
      </x:c>
      <x:c r="E10" s="370"/>
    </x:row>
    <x:row r="11" spans="2:6" x14ac:dyDescent="0.25">
      <x:c r="B11" s="369" t="s">
        <x:v>71</x:v>
      </x:c>
      <x:c r="C11" s="368">
        <x:v>260000</x:v>
      </x:c>
    </x:row>
    <x:row r="14" spans="2:6" x14ac:dyDescent="0.25">
      <x:c r="B14" s="552" t="s">
        <x:v>184</x:v>
      </x:c>
      <x:c r="C14" s="552"/>
    </x:row>
    <x:row r="15" spans="2:6" x14ac:dyDescent="0.25">
      <x:c r="B15" s="224" t="s">
        <x:v>183</x:v>
      </x:c>
      <x:c r="C15" s="341"/>
    </x:row>
    <x:row r="16" spans="2:6" x14ac:dyDescent="0.25">
      <x:c r="B16" s="224" t="s">
        <x:v>182</x:v>
      </x:c>
      <x:c r="C16" s="348">
        <x:f>E16*(F16/12)</x:f>
        <x:v>11306.25</x:v>
      </x:c>
      <x:c r="E16" s="367">
        <x:v>45225</x:v>
      </x:c>
      <x:c r="F16" s="366">
        <x:v>3</x:v>
      </x:c>
    </x:row>
    <x:row r="17" spans="2:8" x14ac:dyDescent="0.25">
      <x:c r="B17" s="224" t="s">
        <x:v>181</x:v>
      </x:c>
      <x:c r="C17" s="348">
        <x:v>0</x:v>
      </x:c>
    </x:row>
    <x:row r="18" spans="2:8" x14ac:dyDescent="0.25">
      <x:c r="B18" s="224" t="s">
        <x:v>180</x:v>
      </x:c>
      <x:c r="C18" s="343">
        <x:f>E18*G18*H18*F18</x:f>
        <x:v>13567.499999999998</x:v>
      </x:c>
      <x:c r="E18" s="365">
        <x:v>45</x:v>
      </x:c>
      <x:c r="F18" s="364">
        <x:v>1005</x:v>
      </x:c>
      <x:c r="G18" s="363">
        <x:v>0.06</x:v>
      </x:c>
      <x:c r="H18" s="362">
        <x:v>5</x:v>
      </x:c>
    </x:row>
    <x:row r="19" spans="2:8" x14ac:dyDescent="0.25">
      <x:c r="B19" s="224" t="s">
        <x:v>179</x:v>
      </x:c>
      <x:c r="C19" s="348">
        <x:f>SUM(C16:C18)</x:f>
        <x:v>24873.75</x:v>
      </x:c>
    </x:row>
    <x:row r="20" spans="2:8" x14ac:dyDescent="0.25">
      <x:c r="B20" s="224"/>
      <x:c r="C20" s="341"/>
    </x:row>
    <x:row r="21" spans="2:8" x14ac:dyDescent="0.25">
      <x:c r="B21" s="361">
        <x:f>E21</x:f>
        <x:v>15</x:v>
      </x:c>
      <x:c r="C21" s="348">
        <x:f>C19*E21</x:f>
        <x:v>373106.25</x:v>
      </x:c>
      <x:c r="E21" s="360">
        <x:v>15</x:v>
      </x:c>
    </x:row>
    <x:row r="22" spans="2:8" x14ac:dyDescent="0.25">
      <x:c r="B22" s="359" t="s">
        <x:v>178</x:v>
      </x:c>
      <x:c r="C22" s="358">
        <x:f>SUM(C19:C21)</x:f>
        <x:v>397980</x:v>
      </x:c>
    </x:row>
    <x:row r="23" spans="2:8" x14ac:dyDescent="0.25">
      <x:c r="B23" s="357" t="s">
        <x:v>71</x:v>
      </x:c>
      <x:c r="C23" s="356" t="str">
        <x:v>changed</x:v>
      </x:c>
    </x:row>
    <x:row r="27" spans="2:8" x14ac:dyDescent="0.25">
      <x:c r="B27" s="355"/>
    </x:row>
  </x:sheetData>
  <x:mergeCells count="2">
    <x:mergeCell ref="B14:C14"/>
    <x:mergeCell ref="B3:C3"/>
  </x:mergeCells>
  <x:pageMargins left="0.7" right="0.7" top="0.75" bottom="0.75" header="0.3" footer="0.3"/>
  <x:pageSetup orientation="portrait" r:id="rId1"/>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vt:i4>
      </vt:variant>
    </vt:vector>
  </HeadingPairs>
  <TitlesOfParts>
    <vt:vector size="26" baseType="lpstr">
      <vt:lpstr>Sheet26</vt:lpstr>
      <vt:lpstr>SSum</vt:lpstr>
      <vt:lpstr>S1</vt:lpstr>
      <vt:lpstr>S2</vt:lpstr>
      <vt:lpstr>S3</vt:lpstr>
      <vt:lpstr>S4</vt:lpstr>
      <vt:lpstr>S5</vt:lpstr>
      <vt:lpstr>SAdj</vt:lpstr>
      <vt:lpstr>SG</vt:lpstr>
      <vt:lpstr>RSum</vt:lpstr>
      <vt:lpstr>R1</vt:lpstr>
      <vt:lpstr>R2</vt:lpstr>
      <vt:lpstr>R3</vt:lpstr>
      <vt:lpstr>R4</vt:lpstr>
      <vt:lpstr>RAdj</vt:lpstr>
      <vt:lpstr>RG</vt:lpstr>
      <vt:lpstr>BOI</vt:lpstr>
      <vt:lpstr>Cap Sales</vt:lpstr>
      <vt:lpstr>Ins</vt:lpstr>
      <vt:lpstr>Tax</vt:lpstr>
      <vt:lpstr>Final</vt:lpstr>
      <vt:lpstr>AddC</vt:lpstr>
      <vt:lpstr>Band_of_Investment_Assumptions</vt:lpstr>
      <vt:lpstr>DSCR</vt:lpstr>
      <vt:lpstr>Income_Proforma</vt:lpstr>
      <vt:lpstr>Mortgage_Equity_CapRate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dc:creator>
  <cp:lastModifiedBy>Carl</cp:lastModifiedBy>
  <dcterms:created xsi:type="dcterms:W3CDTF">2019-11-28T02:13:16Z</dcterms:created>
  <dcterms:modified xsi:type="dcterms:W3CDTF">2022-07-06T16:33:44Z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